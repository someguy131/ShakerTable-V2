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mo\Dropbox\Shaker\"/>
    </mc:Choice>
  </mc:AlternateContent>
  <xr:revisionPtr revIDLastSave="0" documentId="13_ncr:1_{EFE17D9C-5960-4191-8EF4-977230A79759}" xr6:coauthVersionLast="47" xr6:coauthVersionMax="47" xr10:uidLastSave="{00000000-0000-0000-0000-000000000000}"/>
  <bookViews>
    <workbookView xWindow="-98" yWindow="-98" windowWidth="23236" windowHeight="13875" xr2:uid="{96EDE052-9C19-4ACB-BF2A-D1519E2E0611}"/>
  </bookViews>
  <sheets>
    <sheet name="Sheet1" sheetId="1" r:id="rId1"/>
    <sheet name="Fig4a" sheetId="8" r:id="rId2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Sheet1!$F$2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9" i="1" l="1"/>
  <c r="J169" i="1"/>
  <c r="K169" i="1"/>
  <c r="L169" i="1"/>
  <c r="M169" i="1"/>
  <c r="N169" i="1"/>
  <c r="K168" i="1"/>
  <c r="L168" i="1" s="1"/>
  <c r="J168" i="1"/>
  <c r="M168" i="1" s="1"/>
  <c r="N168" i="1" s="1"/>
  <c r="C168" i="1"/>
  <c r="C167" i="1"/>
  <c r="J167" i="1"/>
  <c r="K167" i="1" s="1"/>
  <c r="L167" i="1" s="1"/>
  <c r="M167" i="1"/>
  <c r="N167" i="1" s="1"/>
  <c r="E3" i="8"/>
  <c r="E4" i="8"/>
  <c r="E5" i="8"/>
  <c r="E6" i="8"/>
  <c r="E7" i="8"/>
  <c r="E8" i="8"/>
  <c r="E9" i="8"/>
  <c r="E2" i="8"/>
  <c r="I14" i="8"/>
  <c r="I13" i="8"/>
  <c r="I12" i="8"/>
  <c r="I11" i="8"/>
  <c r="I10" i="8"/>
  <c r="I9" i="8"/>
  <c r="I8" i="8"/>
  <c r="I7" i="8"/>
  <c r="I6" i="8"/>
  <c r="I5" i="8"/>
  <c r="I4" i="8"/>
  <c r="I3" i="8"/>
  <c r="I2" i="8"/>
  <c r="J223" i="1"/>
  <c r="K223" i="1" s="1"/>
  <c r="L223" i="1" s="1"/>
  <c r="E223" i="1"/>
  <c r="S223" i="1" s="1"/>
  <c r="C223" i="1"/>
  <c r="Q223" i="1" s="1"/>
  <c r="C212" i="1"/>
  <c r="J212" i="1"/>
  <c r="K212" i="1" s="1"/>
  <c r="L212" i="1" s="1"/>
  <c r="U212" i="1"/>
  <c r="J232" i="1"/>
  <c r="C232" i="1"/>
  <c r="C211" i="1"/>
  <c r="J211" i="1"/>
  <c r="K211" i="1" s="1"/>
  <c r="L211" i="1" s="1"/>
  <c r="U211" i="1"/>
  <c r="C210" i="1"/>
  <c r="J210" i="1"/>
  <c r="K210" i="1" s="1"/>
  <c r="L210" i="1" s="1"/>
  <c r="U210" i="1"/>
  <c r="J209" i="1"/>
  <c r="K209" i="1" s="1"/>
  <c r="L209" i="1" s="1"/>
  <c r="U209" i="1"/>
  <c r="C209" i="1"/>
  <c r="P223" i="1" l="1"/>
  <c r="M211" i="1"/>
  <c r="N211" i="1" s="1"/>
  <c r="M232" i="1"/>
  <c r="N232" i="1" s="1"/>
  <c r="K232" i="1"/>
  <c r="L232" i="1" s="1"/>
  <c r="M223" i="1"/>
  <c r="N223" i="1" s="1"/>
  <c r="M212" i="1"/>
  <c r="N212" i="1" s="1"/>
  <c r="M209" i="1"/>
  <c r="N209" i="1" s="1"/>
  <c r="M210" i="1"/>
  <c r="N210" i="1" s="1"/>
  <c r="J208" i="1" l="1"/>
  <c r="I252" i="1"/>
  <c r="P222" i="1"/>
  <c r="J222" i="1"/>
  <c r="K222" i="1" s="1"/>
  <c r="L222" i="1" s="1"/>
  <c r="C222" i="1"/>
  <c r="Q222" i="1" s="1"/>
  <c r="C208" i="1"/>
  <c r="U208" i="1"/>
  <c r="C207" i="1"/>
  <c r="J207" i="1"/>
  <c r="K207" i="1" s="1"/>
  <c r="L207" i="1" s="1"/>
  <c r="U207" i="1"/>
  <c r="S240" i="1"/>
  <c r="J216" i="1"/>
  <c r="K216" i="1" s="1"/>
  <c r="L216" i="1" s="1"/>
  <c r="C216" i="1"/>
  <c r="Q216" i="1" s="1"/>
  <c r="U206" i="1"/>
  <c r="J206" i="1"/>
  <c r="K206" i="1" s="1"/>
  <c r="L206" i="1" s="1"/>
  <c r="C206" i="1"/>
  <c r="P216" i="1"/>
  <c r="C205" i="1"/>
  <c r="J205" i="1"/>
  <c r="K205" i="1" s="1"/>
  <c r="L205" i="1" s="1"/>
  <c r="U205" i="1"/>
  <c r="J218" i="1"/>
  <c r="S218" i="1" s="1"/>
  <c r="C218" i="1"/>
  <c r="Q218" i="1" s="1"/>
  <c r="P218" i="1"/>
  <c r="U218" i="1"/>
  <c r="C204" i="1"/>
  <c r="J204" i="1"/>
  <c r="K204" i="1" s="1"/>
  <c r="L204" i="1" s="1"/>
  <c r="U204" i="1"/>
  <c r="P217" i="1"/>
  <c r="P219" i="1"/>
  <c r="P220" i="1"/>
  <c r="P221" i="1"/>
  <c r="U231" i="1"/>
  <c r="J231" i="1"/>
  <c r="C231" i="1"/>
  <c r="U230" i="1"/>
  <c r="J230" i="1"/>
  <c r="K230" i="1" s="1"/>
  <c r="L230" i="1" s="1"/>
  <c r="C230" i="1"/>
  <c r="U229" i="1"/>
  <c r="J229" i="1"/>
  <c r="K229" i="1" s="1"/>
  <c r="L229" i="1" s="1"/>
  <c r="C229" i="1"/>
  <c r="U228" i="1"/>
  <c r="J228" i="1"/>
  <c r="C228" i="1"/>
  <c r="U227" i="1"/>
  <c r="J227" i="1"/>
  <c r="C227" i="1"/>
  <c r="U226" i="1"/>
  <c r="J226" i="1"/>
  <c r="C226" i="1"/>
  <c r="U216" i="1"/>
  <c r="U221" i="1"/>
  <c r="J221" i="1"/>
  <c r="K221" i="1" s="1"/>
  <c r="L221" i="1" s="1"/>
  <c r="C221" i="1"/>
  <c r="Q221" i="1" s="1"/>
  <c r="U220" i="1"/>
  <c r="J220" i="1"/>
  <c r="K220" i="1" s="1"/>
  <c r="L220" i="1" s="1"/>
  <c r="C220" i="1"/>
  <c r="Q220" i="1" s="1"/>
  <c r="U219" i="1"/>
  <c r="J219" i="1"/>
  <c r="S219" i="1" s="1"/>
  <c r="C219" i="1"/>
  <c r="Q219" i="1" s="1"/>
  <c r="U217" i="1"/>
  <c r="J217" i="1"/>
  <c r="S217" i="1" s="1"/>
  <c r="C217" i="1"/>
  <c r="Q217" i="1" s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C203" i="1"/>
  <c r="J203" i="1"/>
  <c r="K203" i="1" s="1"/>
  <c r="L203" i="1" s="1"/>
  <c r="C202" i="1"/>
  <c r="J202" i="1"/>
  <c r="K202" i="1" s="1"/>
  <c r="L202" i="1" s="1"/>
  <c r="C201" i="1"/>
  <c r="J201" i="1"/>
  <c r="K201" i="1" s="1"/>
  <c r="L201" i="1" s="1"/>
  <c r="C200" i="1"/>
  <c r="J200" i="1"/>
  <c r="K200" i="1" s="1"/>
  <c r="L200" i="1" s="1"/>
  <c r="C199" i="1"/>
  <c r="J199" i="1"/>
  <c r="K199" i="1" s="1"/>
  <c r="L199" i="1" s="1"/>
  <c r="C198" i="1"/>
  <c r="J198" i="1"/>
  <c r="K198" i="1" s="1"/>
  <c r="L198" i="1" s="1"/>
  <c r="C197" i="1"/>
  <c r="J197" i="1"/>
  <c r="K197" i="1" s="1"/>
  <c r="L197" i="1" s="1"/>
  <c r="C196" i="1"/>
  <c r="J196" i="1"/>
  <c r="K196" i="1" s="1"/>
  <c r="L196" i="1" s="1"/>
  <c r="C195" i="1"/>
  <c r="J195" i="1"/>
  <c r="K195" i="1" s="1"/>
  <c r="L195" i="1" s="1"/>
  <c r="C194" i="1"/>
  <c r="J194" i="1"/>
  <c r="K194" i="1" s="1"/>
  <c r="L194" i="1" s="1"/>
  <c r="C193" i="1"/>
  <c r="J193" i="1"/>
  <c r="K193" i="1" s="1"/>
  <c r="L193" i="1" s="1"/>
  <c r="C192" i="1"/>
  <c r="J192" i="1"/>
  <c r="K192" i="1" s="1"/>
  <c r="L192" i="1" s="1"/>
  <c r="C191" i="1"/>
  <c r="J191" i="1"/>
  <c r="K191" i="1" s="1"/>
  <c r="L191" i="1" s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C190" i="1"/>
  <c r="J190" i="1"/>
  <c r="K190" i="1" s="1"/>
  <c r="L190" i="1" s="1"/>
  <c r="C189" i="1"/>
  <c r="J189" i="1"/>
  <c r="K189" i="1" s="1"/>
  <c r="L189" i="1" s="1"/>
  <c r="C188" i="1"/>
  <c r="J188" i="1"/>
  <c r="K188" i="1" s="1"/>
  <c r="L188" i="1" s="1"/>
  <c r="C187" i="1"/>
  <c r="J187" i="1"/>
  <c r="C186" i="1"/>
  <c r="J186" i="1"/>
  <c r="K186" i="1" s="1"/>
  <c r="L186" i="1" s="1"/>
  <c r="C185" i="1"/>
  <c r="J185" i="1"/>
  <c r="C184" i="1"/>
  <c r="J184" i="1"/>
  <c r="K184" i="1" s="1"/>
  <c r="L184" i="1" s="1"/>
  <c r="C183" i="1"/>
  <c r="J183" i="1"/>
  <c r="K183" i="1" s="1"/>
  <c r="L183" i="1" s="1"/>
  <c r="C182" i="1"/>
  <c r="J182" i="1"/>
  <c r="K182" i="1" s="1"/>
  <c r="L182" i="1" s="1"/>
  <c r="U105" i="1"/>
  <c r="U108" i="1"/>
  <c r="U111" i="1"/>
  <c r="U114" i="1"/>
  <c r="U117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4" i="1"/>
  <c r="U147" i="1"/>
  <c r="U150" i="1"/>
  <c r="U153" i="1"/>
  <c r="U156" i="1"/>
  <c r="U159" i="1"/>
  <c r="U160" i="1"/>
  <c r="U161" i="1"/>
  <c r="U162" i="1"/>
  <c r="U163" i="1"/>
  <c r="U164" i="1"/>
  <c r="U102" i="1"/>
  <c r="C172" i="1"/>
  <c r="C173" i="1"/>
  <c r="C174" i="1"/>
  <c r="C175" i="1"/>
  <c r="C176" i="1"/>
  <c r="C177" i="1"/>
  <c r="C178" i="1"/>
  <c r="C179" i="1"/>
  <c r="C180" i="1"/>
  <c r="C181" i="1"/>
  <c r="J172" i="1"/>
  <c r="K172" i="1" s="1"/>
  <c r="L172" i="1" s="1"/>
  <c r="J173" i="1"/>
  <c r="K173" i="1" s="1"/>
  <c r="L173" i="1" s="1"/>
  <c r="J174" i="1"/>
  <c r="J175" i="1"/>
  <c r="K175" i="1" s="1"/>
  <c r="L175" i="1" s="1"/>
  <c r="J176" i="1"/>
  <c r="K176" i="1" s="1"/>
  <c r="L176" i="1" s="1"/>
  <c r="J177" i="1"/>
  <c r="K177" i="1" s="1"/>
  <c r="L177" i="1" s="1"/>
  <c r="J178" i="1"/>
  <c r="K178" i="1" s="1"/>
  <c r="L178" i="1" s="1"/>
  <c r="J179" i="1"/>
  <c r="J180" i="1"/>
  <c r="K180" i="1" s="1"/>
  <c r="L180" i="1" s="1"/>
  <c r="J181" i="1"/>
  <c r="K181" i="1" s="1"/>
  <c r="L181" i="1" s="1"/>
  <c r="C171" i="1"/>
  <c r="J171" i="1"/>
  <c r="K171" i="1" s="1"/>
  <c r="L171" i="1" s="1"/>
  <c r="C170" i="1"/>
  <c r="J170" i="1"/>
  <c r="K170" i="1" s="1"/>
  <c r="L170" i="1" s="1"/>
  <c r="Q102" i="1"/>
  <c r="T102" i="1" s="1"/>
  <c r="Q105" i="1"/>
  <c r="T105" i="1" s="1"/>
  <c r="Q108" i="1"/>
  <c r="T108" i="1" s="1"/>
  <c r="Q111" i="1"/>
  <c r="T111" i="1" s="1"/>
  <c r="Q114" i="1"/>
  <c r="T114" i="1" s="1"/>
  <c r="Q117" i="1"/>
  <c r="T117" i="1" s="1"/>
  <c r="Q120" i="1"/>
  <c r="T120" i="1" s="1"/>
  <c r="Q121" i="1"/>
  <c r="T121" i="1" s="1"/>
  <c r="Q122" i="1"/>
  <c r="T122" i="1" s="1"/>
  <c r="Q123" i="1"/>
  <c r="T123" i="1" s="1"/>
  <c r="Q124" i="1"/>
  <c r="T124" i="1" s="1"/>
  <c r="Q125" i="1"/>
  <c r="T125" i="1" s="1"/>
  <c r="Q126" i="1"/>
  <c r="T126" i="1" s="1"/>
  <c r="Q127" i="1"/>
  <c r="T127" i="1" s="1"/>
  <c r="Q128" i="1"/>
  <c r="T128" i="1" s="1"/>
  <c r="Q129" i="1"/>
  <c r="T129" i="1" s="1"/>
  <c r="Q130" i="1"/>
  <c r="T130" i="1" s="1"/>
  <c r="Q131" i="1"/>
  <c r="T131" i="1" s="1"/>
  <c r="Q132" i="1"/>
  <c r="T132" i="1" s="1"/>
  <c r="Q133" i="1"/>
  <c r="T133" i="1" s="1"/>
  <c r="Q134" i="1"/>
  <c r="T134" i="1" s="1"/>
  <c r="Q135" i="1"/>
  <c r="T135" i="1" s="1"/>
  <c r="Q136" i="1"/>
  <c r="T136" i="1" s="1"/>
  <c r="Q137" i="1"/>
  <c r="T137" i="1" s="1"/>
  <c r="Q138" i="1"/>
  <c r="T138" i="1" s="1"/>
  <c r="Q139" i="1"/>
  <c r="T139" i="1" s="1"/>
  <c r="Q140" i="1"/>
  <c r="T140" i="1" s="1"/>
  <c r="Q141" i="1"/>
  <c r="T141" i="1" s="1"/>
  <c r="Q144" i="1"/>
  <c r="T144" i="1" s="1"/>
  <c r="Q147" i="1"/>
  <c r="T147" i="1" s="1"/>
  <c r="Q150" i="1"/>
  <c r="T150" i="1" s="1"/>
  <c r="Q153" i="1"/>
  <c r="T153" i="1" s="1"/>
  <c r="Q156" i="1"/>
  <c r="T156" i="1" s="1"/>
  <c r="Q159" i="1"/>
  <c r="T159" i="1" s="1"/>
  <c r="Q160" i="1"/>
  <c r="T160" i="1" s="1"/>
  <c r="Q161" i="1"/>
  <c r="T161" i="1" s="1"/>
  <c r="Q162" i="1"/>
  <c r="T162" i="1" s="1"/>
  <c r="Q163" i="1"/>
  <c r="T163" i="1" s="1"/>
  <c r="Q164" i="1"/>
  <c r="T164" i="1" s="1"/>
  <c r="P102" i="1"/>
  <c r="R102" i="1" s="1"/>
  <c r="P105" i="1"/>
  <c r="R105" i="1" s="1"/>
  <c r="P108" i="1"/>
  <c r="R108" i="1" s="1"/>
  <c r="P111" i="1"/>
  <c r="R111" i="1" s="1"/>
  <c r="P114" i="1"/>
  <c r="R114" i="1" s="1"/>
  <c r="P117" i="1"/>
  <c r="R117" i="1" s="1"/>
  <c r="P120" i="1"/>
  <c r="R120" i="1" s="1"/>
  <c r="P121" i="1"/>
  <c r="R121" i="1" s="1"/>
  <c r="P122" i="1"/>
  <c r="R122" i="1" s="1"/>
  <c r="P123" i="1"/>
  <c r="R123" i="1" s="1"/>
  <c r="P124" i="1"/>
  <c r="R124" i="1" s="1"/>
  <c r="P125" i="1"/>
  <c r="R125" i="1" s="1"/>
  <c r="P126" i="1"/>
  <c r="R126" i="1" s="1"/>
  <c r="P127" i="1"/>
  <c r="R127" i="1" s="1"/>
  <c r="P128" i="1"/>
  <c r="R128" i="1" s="1"/>
  <c r="P129" i="1"/>
  <c r="R129" i="1" s="1"/>
  <c r="P130" i="1"/>
  <c r="R130" i="1" s="1"/>
  <c r="P131" i="1"/>
  <c r="R131" i="1" s="1"/>
  <c r="P132" i="1"/>
  <c r="R132" i="1" s="1"/>
  <c r="P133" i="1"/>
  <c r="R133" i="1" s="1"/>
  <c r="P134" i="1"/>
  <c r="R134" i="1" s="1"/>
  <c r="P135" i="1"/>
  <c r="R135" i="1" s="1"/>
  <c r="P136" i="1"/>
  <c r="R136" i="1" s="1"/>
  <c r="P137" i="1"/>
  <c r="R137" i="1" s="1"/>
  <c r="P138" i="1"/>
  <c r="R138" i="1" s="1"/>
  <c r="P139" i="1"/>
  <c r="R139" i="1" s="1"/>
  <c r="P140" i="1"/>
  <c r="R140" i="1" s="1"/>
  <c r="P141" i="1"/>
  <c r="R141" i="1" s="1"/>
  <c r="P144" i="1"/>
  <c r="R144" i="1" s="1"/>
  <c r="P147" i="1"/>
  <c r="R147" i="1" s="1"/>
  <c r="P150" i="1"/>
  <c r="R150" i="1" s="1"/>
  <c r="P153" i="1"/>
  <c r="R153" i="1" s="1"/>
  <c r="P156" i="1"/>
  <c r="R156" i="1" s="1"/>
  <c r="P159" i="1"/>
  <c r="R159" i="1" s="1"/>
  <c r="P160" i="1"/>
  <c r="R160" i="1" s="1"/>
  <c r="P161" i="1"/>
  <c r="R161" i="1" s="1"/>
  <c r="P162" i="1"/>
  <c r="R162" i="1" s="1"/>
  <c r="P163" i="1"/>
  <c r="R163" i="1" s="1"/>
  <c r="P164" i="1"/>
  <c r="R164" i="1" s="1"/>
  <c r="J164" i="1"/>
  <c r="K164" i="1" s="1"/>
  <c r="L164" i="1" s="1"/>
  <c r="C164" i="1"/>
  <c r="J165" i="1"/>
  <c r="K165" i="1" s="1"/>
  <c r="L165" i="1" s="1"/>
  <c r="C165" i="1"/>
  <c r="J161" i="1"/>
  <c r="K161" i="1" s="1"/>
  <c r="L161" i="1" s="1"/>
  <c r="C161" i="1"/>
  <c r="J162" i="1"/>
  <c r="C162" i="1"/>
  <c r="J159" i="1"/>
  <c r="K159" i="1" s="1"/>
  <c r="L159" i="1" s="1"/>
  <c r="C159" i="1"/>
  <c r="J160" i="1"/>
  <c r="C160" i="1"/>
  <c r="J156" i="1"/>
  <c r="C156" i="1"/>
  <c r="J157" i="1"/>
  <c r="K157" i="1" s="1"/>
  <c r="L157" i="1" s="1"/>
  <c r="C157" i="1"/>
  <c r="J153" i="1"/>
  <c r="C153" i="1"/>
  <c r="J154" i="1"/>
  <c r="C154" i="1"/>
  <c r="J138" i="1"/>
  <c r="C138" i="1"/>
  <c r="J139" i="1"/>
  <c r="C139" i="1"/>
  <c r="J140" i="1"/>
  <c r="C140" i="1"/>
  <c r="J150" i="1"/>
  <c r="C150" i="1"/>
  <c r="J151" i="1"/>
  <c r="K151" i="1" s="1"/>
  <c r="L151" i="1" s="1"/>
  <c r="C151" i="1"/>
  <c r="J147" i="1"/>
  <c r="K147" i="1" s="1"/>
  <c r="L147" i="1" s="1"/>
  <c r="C147" i="1"/>
  <c r="J148" i="1"/>
  <c r="K148" i="1" s="1"/>
  <c r="L148" i="1" s="1"/>
  <c r="C148" i="1"/>
  <c r="J144" i="1"/>
  <c r="C144" i="1"/>
  <c r="J145" i="1"/>
  <c r="C145" i="1"/>
  <c r="J141" i="1"/>
  <c r="K141" i="1" s="1"/>
  <c r="L141" i="1" s="1"/>
  <c r="C141" i="1"/>
  <c r="J142" i="1"/>
  <c r="C142" i="1"/>
  <c r="J135" i="1"/>
  <c r="C135" i="1"/>
  <c r="J136" i="1"/>
  <c r="C136" i="1"/>
  <c r="J132" i="1"/>
  <c r="C132" i="1"/>
  <c r="J133" i="1"/>
  <c r="C133" i="1"/>
  <c r="J129" i="1"/>
  <c r="C129" i="1"/>
  <c r="J130" i="1"/>
  <c r="C130" i="1"/>
  <c r="J126" i="1"/>
  <c r="C126" i="1"/>
  <c r="J127" i="1"/>
  <c r="C127" i="1"/>
  <c r="J123" i="1"/>
  <c r="C123" i="1"/>
  <c r="J124" i="1"/>
  <c r="C124" i="1"/>
  <c r="J121" i="1"/>
  <c r="C121" i="1"/>
  <c r="J122" i="1"/>
  <c r="C122" i="1"/>
  <c r="C125" i="1"/>
  <c r="J125" i="1"/>
  <c r="J117" i="1"/>
  <c r="K117" i="1" s="1"/>
  <c r="L117" i="1" s="1"/>
  <c r="C117" i="1"/>
  <c r="J118" i="1"/>
  <c r="C118" i="1"/>
  <c r="J115" i="1"/>
  <c r="K115" i="1" s="1"/>
  <c r="L115" i="1" s="1"/>
  <c r="C115" i="1"/>
  <c r="J116" i="1"/>
  <c r="C116" i="1"/>
  <c r="J111" i="1"/>
  <c r="C111" i="1"/>
  <c r="J112" i="1"/>
  <c r="C112" i="1"/>
  <c r="J109" i="1"/>
  <c r="K109" i="1" s="1"/>
  <c r="L109" i="1" s="1"/>
  <c r="C109" i="1"/>
  <c r="J110" i="1"/>
  <c r="K110" i="1" s="1"/>
  <c r="L110" i="1" s="1"/>
  <c r="C110" i="1"/>
  <c r="J106" i="1"/>
  <c r="C106" i="1"/>
  <c r="J107" i="1"/>
  <c r="C107" i="1"/>
  <c r="C108" i="1"/>
  <c r="J108" i="1"/>
  <c r="K108" i="1" s="1"/>
  <c r="L108" i="1" s="1"/>
  <c r="J104" i="1"/>
  <c r="K104" i="1" s="1"/>
  <c r="L104" i="1" s="1"/>
  <c r="C104" i="1"/>
  <c r="J103" i="1"/>
  <c r="C103" i="1"/>
  <c r="J105" i="1"/>
  <c r="K105" i="1" s="1"/>
  <c r="L105" i="1" s="1"/>
  <c r="J113" i="1"/>
  <c r="K113" i="1" s="1"/>
  <c r="L113" i="1" s="1"/>
  <c r="J114" i="1"/>
  <c r="K114" i="1" s="1"/>
  <c r="L114" i="1" s="1"/>
  <c r="J119" i="1"/>
  <c r="K119" i="1" s="1"/>
  <c r="L119" i="1" s="1"/>
  <c r="J120" i="1"/>
  <c r="J128" i="1"/>
  <c r="J131" i="1"/>
  <c r="J134" i="1"/>
  <c r="J137" i="1"/>
  <c r="J143" i="1"/>
  <c r="K143" i="1" s="1"/>
  <c r="L143" i="1" s="1"/>
  <c r="J146" i="1"/>
  <c r="K146" i="1" s="1"/>
  <c r="L146" i="1" s="1"/>
  <c r="J149" i="1"/>
  <c r="K149" i="1" s="1"/>
  <c r="L149" i="1" s="1"/>
  <c r="J152" i="1"/>
  <c r="K152" i="1" s="1"/>
  <c r="L152" i="1" s="1"/>
  <c r="J155" i="1"/>
  <c r="K155" i="1" s="1"/>
  <c r="L155" i="1" s="1"/>
  <c r="J158" i="1"/>
  <c r="K158" i="1" s="1"/>
  <c r="L158" i="1" s="1"/>
  <c r="J163" i="1"/>
  <c r="K163" i="1" s="1"/>
  <c r="L163" i="1" s="1"/>
  <c r="J166" i="1"/>
  <c r="K166" i="1" s="1"/>
  <c r="L166" i="1" s="1"/>
  <c r="J102" i="1"/>
  <c r="K102" i="1" s="1"/>
  <c r="L102" i="1" s="1"/>
  <c r="C120" i="1"/>
  <c r="C128" i="1"/>
  <c r="C131" i="1"/>
  <c r="C134" i="1"/>
  <c r="C137" i="1"/>
  <c r="C166" i="1"/>
  <c r="C163" i="1"/>
  <c r="C158" i="1"/>
  <c r="C155" i="1"/>
  <c r="C152" i="1"/>
  <c r="C149" i="1"/>
  <c r="C146" i="1"/>
  <c r="C143" i="1"/>
  <c r="C119" i="1"/>
  <c r="C114" i="1"/>
  <c r="C113" i="1"/>
  <c r="C105" i="1"/>
  <c r="C102" i="1"/>
  <c r="C4" i="1"/>
  <c r="I4" i="1" s="1"/>
  <c r="J4" i="1" s="1"/>
  <c r="C5" i="1"/>
  <c r="I5" i="1" s="1"/>
  <c r="J5" i="1" s="1"/>
  <c r="C6" i="1"/>
  <c r="I6" i="1" s="1"/>
  <c r="J6" i="1" s="1"/>
  <c r="C7" i="1"/>
  <c r="I7" i="1" s="1"/>
  <c r="J7" i="1" s="1"/>
  <c r="C8" i="1"/>
  <c r="I8" i="1" s="1"/>
  <c r="J8" i="1" s="1"/>
  <c r="C9" i="1"/>
  <c r="I9" i="1" s="1"/>
  <c r="J9" i="1" s="1"/>
  <c r="C10" i="1"/>
  <c r="I10" i="1" s="1"/>
  <c r="J10" i="1" s="1"/>
  <c r="C11" i="1"/>
  <c r="I11" i="1" s="1"/>
  <c r="J11" i="1" s="1"/>
  <c r="C12" i="1"/>
  <c r="I12" i="1" s="1"/>
  <c r="J12" i="1" s="1"/>
  <c r="C13" i="1"/>
  <c r="I13" i="1" s="1"/>
  <c r="J13" i="1" s="1"/>
  <c r="C14" i="1"/>
  <c r="I14" i="1" s="1"/>
  <c r="J14" i="1" s="1"/>
  <c r="C15" i="1"/>
  <c r="I15" i="1" s="1"/>
  <c r="J15" i="1" s="1"/>
  <c r="C16" i="1"/>
  <c r="I16" i="1" s="1"/>
  <c r="J16" i="1" s="1"/>
  <c r="C3" i="1"/>
  <c r="I3" i="1" s="1"/>
  <c r="J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3" i="1"/>
  <c r="H3" i="1" s="1"/>
  <c r="P228" i="1" l="1"/>
  <c r="M222" i="1"/>
  <c r="N222" i="1" s="1"/>
  <c r="S222" i="1"/>
  <c r="M207" i="1"/>
  <c r="N207" i="1" s="1"/>
  <c r="M206" i="1"/>
  <c r="N206" i="1" s="1"/>
  <c r="M216" i="1"/>
  <c r="N216" i="1" s="1"/>
  <c r="M230" i="1"/>
  <c r="N230" i="1" s="1"/>
  <c r="S216" i="1"/>
  <c r="S221" i="1"/>
  <c r="S220" i="1"/>
  <c r="M205" i="1"/>
  <c r="N205" i="1" s="1"/>
  <c r="M218" i="1"/>
  <c r="N218" i="1" s="1"/>
  <c r="K218" i="1"/>
  <c r="L218" i="1" s="1"/>
  <c r="M199" i="1"/>
  <c r="N199" i="1" s="1"/>
  <c r="M219" i="1"/>
  <c r="N219" i="1" s="1"/>
  <c r="M228" i="1"/>
  <c r="N228" i="1" s="1"/>
  <c r="M226" i="1"/>
  <c r="N226" i="1" s="1"/>
  <c r="M217" i="1"/>
  <c r="N217" i="1" s="1"/>
  <c r="M227" i="1"/>
  <c r="N227" i="1" s="1"/>
  <c r="M229" i="1"/>
  <c r="N229" i="1" s="1"/>
  <c r="M221" i="1"/>
  <c r="N221" i="1" s="1"/>
  <c r="M198" i="1"/>
  <c r="N198" i="1" s="1"/>
  <c r="M231" i="1"/>
  <c r="N231" i="1" s="1"/>
  <c r="M220" i="1"/>
  <c r="N220" i="1" s="1"/>
  <c r="M204" i="1"/>
  <c r="N204" i="1" s="1"/>
  <c r="K231" i="1"/>
  <c r="L231" i="1" s="1"/>
  <c r="K228" i="1"/>
  <c r="L228" i="1" s="1"/>
  <c r="K227" i="1"/>
  <c r="L227" i="1" s="1"/>
  <c r="K226" i="1"/>
  <c r="L226" i="1" s="1"/>
  <c r="K219" i="1"/>
  <c r="L219" i="1" s="1"/>
  <c r="K217" i="1"/>
  <c r="L217" i="1" s="1"/>
  <c r="M203" i="1"/>
  <c r="N203" i="1" s="1"/>
  <c r="M202" i="1"/>
  <c r="N202" i="1" s="1"/>
  <c r="M201" i="1"/>
  <c r="N201" i="1" s="1"/>
  <c r="M200" i="1"/>
  <c r="N200" i="1" s="1"/>
  <c r="M197" i="1"/>
  <c r="N197" i="1" s="1"/>
  <c r="M196" i="1"/>
  <c r="N196" i="1" s="1"/>
  <c r="M195" i="1"/>
  <c r="N195" i="1" s="1"/>
  <c r="M194" i="1"/>
  <c r="N194" i="1" s="1"/>
  <c r="M181" i="1"/>
  <c r="N181" i="1" s="1"/>
  <c r="M189" i="1"/>
  <c r="N189" i="1" s="1"/>
  <c r="M187" i="1"/>
  <c r="N187" i="1" s="1"/>
  <c r="M193" i="1"/>
  <c r="N193" i="1" s="1"/>
  <c r="M192" i="1"/>
  <c r="N192" i="1" s="1"/>
  <c r="M191" i="1"/>
  <c r="N191" i="1" s="1"/>
  <c r="M190" i="1"/>
  <c r="N190" i="1" s="1"/>
  <c r="M188" i="1"/>
  <c r="N188" i="1" s="1"/>
  <c r="K187" i="1"/>
  <c r="L187" i="1" s="1"/>
  <c r="M186" i="1"/>
  <c r="N186" i="1" s="1"/>
  <c r="M185" i="1"/>
  <c r="N185" i="1" s="1"/>
  <c r="S147" i="1"/>
  <c r="S128" i="1"/>
  <c r="K185" i="1"/>
  <c r="L185" i="1" s="1"/>
  <c r="M184" i="1"/>
  <c r="N184" i="1" s="1"/>
  <c r="M183" i="1"/>
  <c r="N183" i="1" s="1"/>
  <c r="M182" i="1"/>
  <c r="N182" i="1" s="1"/>
  <c r="S127" i="1"/>
  <c r="S123" i="1"/>
  <c r="S161" i="1"/>
  <c r="S120" i="1"/>
  <c r="S108" i="1"/>
  <c r="S139" i="1"/>
  <c r="S136" i="1"/>
  <c r="S132" i="1"/>
  <c r="S150" i="1"/>
  <c r="S133" i="1"/>
  <c r="S111" i="1"/>
  <c r="S153" i="1"/>
  <c r="S131" i="1"/>
  <c r="S105" i="1"/>
  <c r="S130" i="1"/>
  <c r="S102" i="1"/>
  <c r="S129" i="1"/>
  <c r="M174" i="1"/>
  <c r="N174" i="1" s="1"/>
  <c r="S164" i="1"/>
  <c r="S144" i="1"/>
  <c r="S126" i="1"/>
  <c r="S163" i="1"/>
  <c r="S141" i="1"/>
  <c r="S125" i="1"/>
  <c r="S162" i="1"/>
  <c r="S140" i="1"/>
  <c r="S124" i="1"/>
  <c r="M180" i="1"/>
  <c r="N180" i="1" s="1"/>
  <c r="S160" i="1"/>
  <c r="S138" i="1"/>
  <c r="S122" i="1"/>
  <c r="S159" i="1"/>
  <c r="S137" i="1"/>
  <c r="S121" i="1"/>
  <c r="S135" i="1"/>
  <c r="S117" i="1"/>
  <c r="S156" i="1"/>
  <c r="S134" i="1"/>
  <c r="S114" i="1"/>
  <c r="M177" i="1"/>
  <c r="N177" i="1" s="1"/>
  <c r="M179" i="1"/>
  <c r="N179" i="1" s="1"/>
  <c r="K179" i="1"/>
  <c r="L179" i="1" s="1"/>
  <c r="K174" i="1"/>
  <c r="L174" i="1" s="1"/>
  <c r="M175" i="1"/>
  <c r="N175" i="1" s="1"/>
  <c r="M172" i="1"/>
  <c r="N172" i="1" s="1"/>
  <c r="M178" i="1"/>
  <c r="N178" i="1" s="1"/>
  <c r="M176" i="1"/>
  <c r="N176" i="1" s="1"/>
  <c r="M173" i="1"/>
  <c r="N173" i="1" s="1"/>
  <c r="M171" i="1"/>
  <c r="N171" i="1" s="1"/>
  <c r="M170" i="1"/>
  <c r="N170" i="1" s="1"/>
  <c r="O105" i="1"/>
  <c r="O108" i="1"/>
  <c r="O102" i="1"/>
  <c r="M161" i="1"/>
  <c r="N161" i="1" s="1"/>
  <c r="M164" i="1"/>
  <c r="N164" i="1" s="1"/>
  <c r="M165" i="1"/>
  <c r="N165" i="1" s="1"/>
  <c r="M162" i="1"/>
  <c r="N162" i="1" s="1"/>
  <c r="M159" i="1"/>
  <c r="N159" i="1" s="1"/>
  <c r="M160" i="1"/>
  <c r="N160" i="1" s="1"/>
  <c r="K162" i="1"/>
  <c r="L162" i="1" s="1"/>
  <c r="M156" i="1"/>
  <c r="N156" i="1" s="1"/>
  <c r="K160" i="1"/>
  <c r="L160" i="1" s="1"/>
  <c r="M153" i="1"/>
  <c r="N153" i="1" s="1"/>
  <c r="M157" i="1"/>
  <c r="N157" i="1" s="1"/>
  <c r="K156" i="1"/>
  <c r="L156" i="1" s="1"/>
  <c r="M154" i="1"/>
  <c r="N154" i="1" s="1"/>
  <c r="K153" i="1"/>
  <c r="L153" i="1" s="1"/>
  <c r="K154" i="1"/>
  <c r="L154" i="1" s="1"/>
  <c r="M150" i="1"/>
  <c r="N150" i="1" s="1"/>
  <c r="M151" i="1"/>
  <c r="N151" i="1" s="1"/>
  <c r="K150" i="1"/>
  <c r="L150" i="1" s="1"/>
  <c r="M147" i="1"/>
  <c r="N147" i="1" s="1"/>
  <c r="M144" i="1"/>
  <c r="N144" i="1" s="1"/>
  <c r="M145" i="1"/>
  <c r="N145" i="1" s="1"/>
  <c r="M148" i="1"/>
  <c r="N148" i="1" s="1"/>
  <c r="K144" i="1"/>
  <c r="L144" i="1" s="1"/>
  <c r="M141" i="1"/>
  <c r="N141" i="1" s="1"/>
  <c r="K145" i="1"/>
  <c r="L145" i="1" s="1"/>
  <c r="M142" i="1"/>
  <c r="N142" i="1" s="1"/>
  <c r="K142" i="1"/>
  <c r="L142" i="1" s="1"/>
  <c r="M110" i="1"/>
  <c r="N110" i="1" s="1"/>
  <c r="M117" i="1"/>
  <c r="N117" i="1" s="1"/>
  <c r="M116" i="1"/>
  <c r="N116" i="1" s="1"/>
  <c r="M115" i="1"/>
  <c r="N115" i="1" s="1"/>
  <c r="M118" i="1"/>
  <c r="N118" i="1" s="1"/>
  <c r="M112" i="1"/>
  <c r="N112" i="1" s="1"/>
  <c r="K118" i="1"/>
  <c r="L118" i="1" s="1"/>
  <c r="K116" i="1"/>
  <c r="L116" i="1" s="1"/>
  <c r="M111" i="1"/>
  <c r="N111" i="1" s="1"/>
  <c r="K111" i="1"/>
  <c r="L111" i="1" s="1"/>
  <c r="M107" i="1"/>
  <c r="N107" i="1" s="1"/>
  <c r="M109" i="1"/>
  <c r="N109" i="1" s="1"/>
  <c r="K112" i="1"/>
  <c r="L112" i="1" s="1"/>
  <c r="M106" i="1"/>
  <c r="N106" i="1" s="1"/>
  <c r="K106" i="1"/>
  <c r="L106" i="1" s="1"/>
  <c r="M108" i="1"/>
  <c r="N108" i="1" s="1"/>
  <c r="M113" i="1"/>
  <c r="N113" i="1" s="1"/>
  <c r="K107" i="1"/>
  <c r="L107" i="1" s="1"/>
  <c r="M103" i="1"/>
  <c r="N103" i="1" s="1"/>
  <c r="M158" i="1"/>
  <c r="N158" i="1" s="1"/>
  <c r="M163" i="1"/>
  <c r="N163" i="1" s="1"/>
  <c r="M104" i="1"/>
  <c r="N104" i="1" s="1"/>
  <c r="M105" i="1"/>
  <c r="N105" i="1" s="1"/>
  <c r="M166" i="1"/>
  <c r="N166" i="1" s="1"/>
  <c r="K103" i="1"/>
  <c r="L103" i="1" s="1"/>
  <c r="M114" i="1"/>
  <c r="N114" i="1" s="1"/>
  <c r="M119" i="1"/>
  <c r="N119" i="1" s="1"/>
  <c r="M146" i="1"/>
  <c r="N146" i="1" s="1"/>
  <c r="M149" i="1"/>
  <c r="N149" i="1" s="1"/>
  <c r="M152" i="1"/>
  <c r="N152" i="1" s="1"/>
  <c r="M143" i="1"/>
  <c r="N143" i="1" s="1"/>
  <c r="M155" i="1"/>
  <c r="N155" i="1" s="1"/>
  <c r="M102" i="1"/>
  <c r="N102" i="1" s="1"/>
  <c r="F53" i="1"/>
  <c r="G53" i="1" s="1"/>
  <c r="F52" i="1"/>
  <c r="G52" i="1" s="1"/>
  <c r="F51" i="1"/>
  <c r="G51" i="1" s="1"/>
  <c r="F50" i="1"/>
  <c r="G50" i="1" s="1"/>
  <c r="F49" i="1"/>
  <c r="G49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B96" i="1"/>
  <c r="B94" i="1"/>
  <c r="G36" i="1"/>
  <c r="H36" i="1" s="1"/>
  <c r="G35" i="1"/>
  <c r="H35" i="1" s="1"/>
  <c r="F32" i="1"/>
  <c r="G32" i="1" s="1"/>
  <c r="F26" i="1"/>
  <c r="G26" i="1" s="1"/>
  <c r="F25" i="1"/>
  <c r="G25" i="1" s="1"/>
  <c r="F24" i="1"/>
  <c r="G24" i="1" s="1"/>
  <c r="F22" i="1"/>
  <c r="G22" i="1" s="1"/>
  <c r="F23" i="1"/>
  <c r="G23" i="1" s="1"/>
  <c r="F21" i="1"/>
  <c r="G21" i="1" s="1"/>
  <c r="F20" i="1"/>
  <c r="G20" i="1" s="1"/>
  <c r="F19" i="1"/>
  <c r="G19" i="1" s="1"/>
</calcChain>
</file>

<file path=xl/sharedStrings.xml><?xml version="1.0" encoding="utf-8"?>
<sst xmlns="http://schemas.openxmlformats.org/spreadsheetml/2006/main" count="106" uniqueCount="70">
  <si>
    <t>Target (hz)</t>
  </si>
  <si>
    <t>Amplitude (m)</t>
  </si>
  <si>
    <t>actual (rad/s)</t>
  </si>
  <si>
    <t>actual (hz)</t>
  </si>
  <si>
    <t>error (hz)</t>
  </si>
  <si>
    <t>% error</t>
  </si>
  <si>
    <t xml:space="preserve">Trial 2. </t>
  </si>
  <si>
    <t>Target Amplitude (m)</t>
  </si>
  <si>
    <t>Actual Amplitude (m)</t>
  </si>
  <si>
    <t>masses</t>
  </si>
  <si>
    <t>4 dcells</t>
  </si>
  <si>
    <t>2 clamps</t>
  </si>
  <si>
    <t>4d+2c</t>
  </si>
  <si>
    <t>2d+2c</t>
  </si>
  <si>
    <t>Trial 4</t>
  </si>
  <si>
    <t xml:space="preserve"> Erratic</t>
  </si>
  <si>
    <t>Target (hz) corrected</t>
  </si>
  <si>
    <t>error from corrected target</t>
  </si>
  <si>
    <t>% error from corrected target</t>
  </si>
  <si>
    <t>fit uncertainty</t>
  </si>
  <si>
    <t>Run</t>
  </si>
  <si>
    <t>Fit uncertainty2</t>
  </si>
  <si>
    <t>Stdev (hz)</t>
  </si>
  <si>
    <t>stdev(rad/s)</t>
  </si>
  <si>
    <t>stdev(m)</t>
  </si>
  <si>
    <t>stderr(rad)</t>
  </si>
  <si>
    <t>% RSD(f)</t>
  </si>
  <si>
    <t>%RSD(A)</t>
  </si>
  <si>
    <t>amplitude error</t>
  </si>
  <si>
    <t>Target (Hz), corrected</t>
  </si>
  <si>
    <t>Actual (Hz)</t>
  </si>
  <si>
    <t>Target (Hz)</t>
  </si>
  <si>
    <t>Notes</t>
  </si>
  <si>
    <t>oddly triangular</t>
  </si>
  <si>
    <t>Nice sine</t>
  </si>
  <si>
    <t>Slightly pointy for a sine</t>
  </si>
  <si>
    <t>might not be perfectly shaped, hard to tell, looks like some position uncertainty</t>
  </si>
  <si>
    <t>rmse</t>
  </si>
  <si>
    <t>too triangular (visually)</t>
  </si>
  <si>
    <t>f^2*A^2 (actual)</t>
  </si>
  <si>
    <t>f^2*A^2 (input corrected)</t>
  </si>
  <si>
    <t>Slider may have been getting too close to the end. Amplitude could be low?</t>
  </si>
  <si>
    <t>1677*A2=0.2</t>
  </si>
  <si>
    <t>1677=0.2/A2</t>
  </si>
  <si>
    <t>1677/.2=1/a2</t>
  </si>
  <si>
    <t>A2=.2/1677</t>
  </si>
  <si>
    <t>a=sqrt(0.2/f^2) in rads/sec</t>
  </si>
  <si>
    <t>f^2*A^2 (actual,  hz)</t>
  </si>
  <si>
    <t>repeat 99 with slider fruther away. Fairly well centered now, but still getting close to sensor dead zones.</t>
  </si>
  <si>
    <t>Adjusted inclination of sensor, moved sensor to minimize deadzone exposure</t>
  </si>
  <si>
    <t>a=sqrt(0.005/f^2) in Hz</t>
  </si>
  <si>
    <t xml:space="preserve">max acceleration </t>
  </si>
  <si>
    <t>pulled out drive belt!</t>
  </si>
  <si>
    <t>possible standing wave in lower drive belt.</t>
  </si>
  <si>
    <t>averaged amplitude</t>
  </si>
  <si>
    <t>Input Frequency (Hz)</t>
  </si>
  <si>
    <t>Output Frequency (Hz)</t>
  </si>
  <si>
    <t>Corrected Output Frequency (Hz)</t>
  </si>
  <si>
    <t>2 A per coil</t>
  </si>
  <si>
    <t>3.5A per coil</t>
  </si>
  <si>
    <t>Trial 3 with load</t>
  </si>
  <si>
    <t>Clamp the apparatus down!!!</t>
  </si>
  <si>
    <t>Trial1</t>
  </si>
  <si>
    <t>Load</t>
  </si>
  <si>
    <t>Upper bounds</t>
  </si>
  <si>
    <t>Lower bounds</t>
  </si>
  <si>
    <t>Summary of Envelope Boundries:</t>
  </si>
  <si>
    <t>Rerun, Replication with higher precision and envelope definition</t>
  </si>
  <si>
    <t>2.5 A, per coil no load</t>
  </si>
  <si>
    <t>(rating is 2.1 A/coil)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</si>
</sst>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0.000"/>
    <numFmt numFmtId="165" formatCode="0.0%"/>
    <numFmt numFmtId="166" formatCode="0.0E+00"/>
    <numFmt numFmtId="167" formatCode="0.00000E+00"/>
    <numFmt numFmtId="168" formatCode="0.000%"/>
    <numFmt numFmtId="169" formatCode="0.00000%"/>
    <numFmt numFmtId="170" formatCode="0.000000"/>
  </numFmts>
  <fonts count="11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9C0006"/>
      <name val="Aptos Narrow"/>
      <family val="2"/>
      <scheme val="minor"/>
    </font>
    <font>
      <sz val="5"/>
      <color rgb="FF4E5B61"/>
      <name val="Arial Unicode MS"/>
      <family val="2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6" fillId="4" borderId="0" applyNumberFormat="0" applyBorder="0" applyAlignment="0" applyProtection="0"/>
  </cellStyleXfs>
  <cellXfs count="63">
    <xf numFmtId="0" fontId="0" fillId="0" borderId="0" xfId="0"/>
    <xf numFmtId="2" fontId="0" fillId="0" borderId="0" xfId="0" applyNumberFormat="1"/>
    <xf numFmtId="165" fontId="0" fillId="0" borderId="0" xfId="1" applyNumberFormat="1" applyFont="1"/>
    <xf numFmtId="18" fontId="0" fillId="0" borderId="0" xfId="0" quotePrefix="1" applyNumberFormat="1"/>
    <xf numFmtId="0" fontId="0" fillId="0" borderId="0" xfId="0" quotePrefix="1"/>
    <xf numFmtId="11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1" applyNumberFormat="1" applyFont="1"/>
    <xf numFmtId="169" fontId="0" fillId="0" borderId="0" xfId="1" applyNumberFormat="1" applyFont="1"/>
    <xf numFmtId="168" fontId="0" fillId="0" borderId="0" xfId="0" applyNumberFormat="1"/>
    <xf numFmtId="0" fontId="3" fillId="0" borderId="0" xfId="0" applyFont="1"/>
    <xf numFmtId="0" fontId="0" fillId="3" borderId="1" xfId="0" applyFill="1" applyBorder="1"/>
    <xf numFmtId="10" fontId="0" fillId="0" borderId="0" xfId="1" applyNumberFormat="1" applyFont="1"/>
    <xf numFmtId="0" fontId="5" fillId="0" borderId="0" xfId="0" applyFont="1"/>
    <xf numFmtId="11" fontId="5" fillId="0" borderId="0" xfId="0" applyNumberFormat="1" applyFont="1"/>
    <xf numFmtId="166" fontId="5" fillId="0" borderId="0" xfId="0" applyNumberFormat="1" applyFont="1"/>
    <xf numFmtId="2" fontId="5" fillId="0" borderId="0" xfId="0" applyNumberFormat="1" applyFont="1"/>
    <xf numFmtId="165" fontId="5" fillId="0" borderId="0" xfId="1" applyNumberFormat="1" applyFont="1"/>
    <xf numFmtId="169" fontId="5" fillId="0" borderId="0" xfId="1" applyNumberFormat="1" applyFont="1"/>
    <xf numFmtId="168" fontId="5" fillId="0" borderId="0" xfId="0" applyNumberFormat="1" applyFont="1"/>
    <xf numFmtId="0" fontId="1" fillId="0" borderId="0" xfId="0" applyFont="1"/>
    <xf numFmtId="11" fontId="1" fillId="0" borderId="0" xfId="0" applyNumberFormat="1" applyFont="1"/>
    <xf numFmtId="166" fontId="1" fillId="0" borderId="0" xfId="0" applyNumberFormat="1" applyFont="1"/>
    <xf numFmtId="2" fontId="1" fillId="0" borderId="0" xfId="0" applyNumberFormat="1" applyFont="1"/>
    <xf numFmtId="165" fontId="1" fillId="0" borderId="0" xfId="1" applyNumberFormat="1" applyFont="1"/>
    <xf numFmtId="169" fontId="1" fillId="0" borderId="0" xfId="1" applyNumberFormat="1" applyFont="1"/>
    <xf numFmtId="168" fontId="1" fillId="0" borderId="0" xfId="0" applyNumberFormat="1" applyFont="1"/>
    <xf numFmtId="10" fontId="5" fillId="0" borderId="0" xfId="1" applyNumberFormat="1" applyFont="1"/>
    <xf numFmtId="167" fontId="5" fillId="0" borderId="0" xfId="0" applyNumberFormat="1" applyFont="1"/>
    <xf numFmtId="167" fontId="1" fillId="0" borderId="0" xfId="0" applyNumberFormat="1" applyFont="1"/>
    <xf numFmtId="165" fontId="5" fillId="0" borderId="0" xfId="0" applyNumberFormat="1" applyFont="1"/>
    <xf numFmtId="0" fontId="5" fillId="2" borderId="1" xfId="0" applyFont="1" applyFill="1" applyBorder="1"/>
    <xf numFmtId="11" fontId="5" fillId="2" borderId="1" xfId="0" applyNumberFormat="1" applyFont="1" applyFill="1" applyBorder="1"/>
    <xf numFmtId="166" fontId="5" fillId="2" borderId="1" xfId="0" applyNumberFormat="1" applyFont="1" applyFill="1" applyBorder="1"/>
    <xf numFmtId="2" fontId="5" fillId="2" borderId="1" xfId="0" applyNumberFormat="1" applyFont="1" applyFill="1" applyBorder="1"/>
    <xf numFmtId="165" fontId="5" fillId="2" borderId="1" xfId="1" applyNumberFormat="1" applyFont="1" applyFill="1" applyBorder="1"/>
    <xf numFmtId="0" fontId="5" fillId="3" borderId="1" xfId="0" applyFont="1" applyFill="1" applyBorder="1"/>
    <xf numFmtId="2" fontId="5" fillId="3" borderId="1" xfId="0" applyNumberFormat="1" applyFont="1" applyFill="1" applyBorder="1"/>
    <xf numFmtId="165" fontId="5" fillId="3" borderId="1" xfId="1" applyNumberFormat="1" applyFont="1" applyFill="1" applyBorder="1"/>
    <xf numFmtId="11" fontId="0" fillId="3" borderId="1" xfId="0" applyNumberFormat="1" applyFill="1" applyBorder="1"/>
    <xf numFmtId="166" fontId="0" fillId="3" borderId="1" xfId="0" applyNumberFormat="1" applyFill="1" applyBorder="1"/>
    <xf numFmtId="170" fontId="5" fillId="0" borderId="0" xfId="1" applyNumberFormat="1" applyFont="1"/>
    <xf numFmtId="165" fontId="0" fillId="0" borderId="0" xfId="0" applyNumberFormat="1"/>
    <xf numFmtId="0" fontId="6" fillId="4" borderId="0" xfId="2"/>
    <xf numFmtId="11" fontId="6" fillId="4" borderId="0" xfId="2" applyNumberFormat="1"/>
    <xf numFmtId="166" fontId="6" fillId="4" borderId="0" xfId="2" applyNumberFormat="1"/>
    <xf numFmtId="2" fontId="6" fillId="4" borderId="0" xfId="2" applyNumberFormat="1"/>
    <xf numFmtId="165" fontId="6" fillId="4" borderId="0" xfId="2" applyNumberFormat="1"/>
    <xf numFmtId="0" fontId="6" fillId="4" borderId="0" xfId="2" applyNumberFormat="1"/>
    <xf numFmtId="169" fontId="6" fillId="4" borderId="0" xfId="2" applyNumberFormat="1"/>
    <xf numFmtId="168" fontId="6" fillId="4" borderId="0" xfId="2" applyNumberFormat="1"/>
    <xf numFmtId="0" fontId="7" fillId="4" borderId="0" xfId="2" applyFont="1"/>
    <xf numFmtId="11" fontId="5" fillId="3" borderId="1" xfId="0" applyNumberFormat="1" applyFont="1" applyFill="1" applyBorder="1"/>
    <xf numFmtId="166" fontId="5" fillId="3" borderId="1" xfId="0" applyNumberFormat="1" applyFont="1" applyFill="1" applyBorder="1"/>
    <xf numFmtId="0" fontId="8" fillId="0" borderId="0" xfId="0" applyFont="1" applyAlignment="1">
      <alignment vertical="center"/>
    </xf>
    <xf numFmtId="2" fontId="0" fillId="3" borderId="1" xfId="0" applyNumberFormat="1" applyFill="1" applyBorder="1"/>
    <xf numFmtId="165" fontId="0" fillId="3" borderId="1" xfId="1" applyNumberFormat="1" applyFont="1" applyFill="1" applyBorder="1"/>
    <xf numFmtId="0" fontId="9" fillId="0" borderId="0" xfId="0" applyFont="1"/>
    <xf numFmtId="0" fontId="0" fillId="0" borderId="0" xfId="0" applyNumberFormat="1"/>
    <xf numFmtId="0" fontId="10" fillId="0" borderId="0" xfId="0" applyFont="1"/>
    <xf numFmtId="164" fontId="10" fillId="0" borderId="0" xfId="0" applyNumberFormat="1" applyFont="1"/>
    <xf numFmtId="11" fontId="10" fillId="0" borderId="0" xfId="0" applyNumberFormat="1" applyFont="1"/>
  </cellXfs>
  <cellStyles count="3">
    <cellStyle name="Bad" xfId="2" builtinId="27"/>
    <cellStyle name="Normal" xfId="0" builtinId="0"/>
    <cellStyle name="Percent" xfId="1" builtinId="5"/>
  </cellStyles>
  <dxfs count="40">
    <dxf>
      <font>
        <b val="0"/>
        <i val="0"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</dxf>
    <dxf>
      <numFmt numFmtId="2" formatCode="0.00"/>
    </dxf>
    <dxf>
      <numFmt numFmtId="2" formatCode="0.00"/>
    </dxf>
    <dxf>
      <numFmt numFmtId="165" formatCode="0.0%"/>
    </dxf>
    <dxf>
      <numFmt numFmtId="168" formatCode="0.000%"/>
    </dxf>
    <dxf>
      <numFmt numFmtId="169" formatCode="0.00000%"/>
    </dxf>
    <dxf>
      <numFmt numFmtId="15" formatCode="0.00E+00"/>
    </dxf>
    <dxf>
      <numFmt numFmtId="0" formatCode="General"/>
    </dxf>
    <dxf>
      <numFmt numFmtId="15" formatCode="0.00E+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</dxf>
    <dxf>
      <numFmt numFmtId="2" formatCode="0.00"/>
    </dxf>
    <dxf>
      <numFmt numFmtId="2" formatCode="0.00"/>
    </dxf>
    <dxf>
      <numFmt numFmtId="166" formatCode="0.0E+00"/>
    </dxf>
    <dxf>
      <numFmt numFmtId="166" formatCode="0.0E+00"/>
    </dxf>
    <dxf>
      <numFmt numFmtId="15" formatCode="0.00E+00"/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49998474074526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Table Style 1" pivot="0" count="4" xr9:uid="{3DF5AD31-DA72-4B5B-914A-1036660A6000}">
      <tableStyleElement type="wholeTable" dxfId="39"/>
      <tableStyleElement type="headerRow" dxfId="38"/>
      <tableStyleElement type="firstRowStripe" size="3" dxfId="37"/>
      <tableStyleElement type="secondRowStripe" size="3" dxfId="3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Sheet1!$C$3:$C$16</c:f>
              <c:numCache>
                <c:formatCode>General</c:formatCode>
                <c:ptCount val="14"/>
                <c:pt idx="0">
                  <c:v>1.1180000000000001</c:v>
                </c:pt>
                <c:pt idx="1">
                  <c:v>2.2360000000000002</c:v>
                </c:pt>
                <c:pt idx="2">
                  <c:v>3.3540000000000001</c:v>
                </c:pt>
                <c:pt idx="3">
                  <c:v>4.4720000000000004</c:v>
                </c:pt>
                <c:pt idx="4">
                  <c:v>5.5900000000000007</c:v>
                </c:pt>
                <c:pt idx="5">
                  <c:v>6.7080000000000002</c:v>
                </c:pt>
                <c:pt idx="6">
                  <c:v>7.8260000000000005</c:v>
                </c:pt>
                <c:pt idx="7">
                  <c:v>8.9440000000000008</c:v>
                </c:pt>
                <c:pt idx="8">
                  <c:v>10.062000000000001</c:v>
                </c:pt>
                <c:pt idx="9">
                  <c:v>11.180000000000001</c:v>
                </c:pt>
                <c:pt idx="10">
                  <c:v>12.298000000000002</c:v>
                </c:pt>
                <c:pt idx="11">
                  <c:v>13.416</c:v>
                </c:pt>
                <c:pt idx="12">
                  <c:v>16.770000000000003</c:v>
                </c:pt>
                <c:pt idx="13">
                  <c:v>16.770000000000003</c:v>
                </c:pt>
              </c:numCache>
            </c:numRef>
          </c:xVal>
          <c:yVal>
            <c:numRef>
              <c:f>Sheet1!$F$3:$F$16</c:f>
              <c:numCache>
                <c:formatCode>0.00</c:formatCode>
                <c:ptCount val="14"/>
                <c:pt idx="0">
                  <c:v>1.1825212270000001</c:v>
                </c:pt>
                <c:pt idx="1">
                  <c:v>2.339577663</c:v>
                </c:pt>
                <c:pt idx="2">
                  <c:v>3.4854932540000001</c:v>
                </c:pt>
                <c:pt idx="3">
                  <c:v>4.6154933500000004</c:v>
                </c:pt>
                <c:pt idx="4">
                  <c:v>5.7295779509999996</c:v>
                </c:pt>
                <c:pt idx="5">
                  <c:v>6.7322540929999999</c:v>
                </c:pt>
                <c:pt idx="6">
                  <c:v>7.5280288080000002</c:v>
                </c:pt>
                <c:pt idx="7">
                  <c:v>8.86493033</c:v>
                </c:pt>
                <c:pt idx="8">
                  <c:v>9.5652120800000002</c:v>
                </c:pt>
                <c:pt idx="9">
                  <c:v>10.122254379999999</c:v>
                </c:pt>
                <c:pt idx="10">
                  <c:v>10.583803720000001</c:v>
                </c:pt>
                <c:pt idx="11">
                  <c:v>10.965775580000001</c:v>
                </c:pt>
                <c:pt idx="12">
                  <c:v>20.530987660000001</c:v>
                </c:pt>
                <c:pt idx="13">
                  <c:v>15.835916839999999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6E-44E0-8EA6-939508AA2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4814592"/>
        <c:axId val="854819872"/>
      </c:scatterChart>
      <c:valAx>
        <c:axId val="854814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819872"/>
        <c:crosses val="autoZero"/>
        <c:crossBetween val="midCat"/>
      </c:valAx>
      <c:valAx>
        <c:axId val="85481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814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692038495188105E-2"/>
          <c:y val="0.17171296296296298"/>
          <c:w val="0.89030796150481195"/>
          <c:h val="0.6153546952464275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Sheet1!$C$3:$C$12</c:f>
              <c:numCache>
                <c:formatCode>General</c:formatCode>
                <c:ptCount val="10"/>
                <c:pt idx="0">
                  <c:v>1.1180000000000001</c:v>
                </c:pt>
                <c:pt idx="1">
                  <c:v>2.2360000000000002</c:v>
                </c:pt>
                <c:pt idx="2">
                  <c:v>3.3540000000000001</c:v>
                </c:pt>
                <c:pt idx="3">
                  <c:v>4.4720000000000004</c:v>
                </c:pt>
                <c:pt idx="4">
                  <c:v>5.5900000000000007</c:v>
                </c:pt>
                <c:pt idx="5">
                  <c:v>6.7080000000000002</c:v>
                </c:pt>
                <c:pt idx="6">
                  <c:v>7.8260000000000005</c:v>
                </c:pt>
                <c:pt idx="7">
                  <c:v>8.9440000000000008</c:v>
                </c:pt>
                <c:pt idx="8">
                  <c:v>10.062000000000001</c:v>
                </c:pt>
                <c:pt idx="9">
                  <c:v>11.180000000000001</c:v>
                </c:pt>
              </c:numCache>
            </c:numRef>
          </c:xVal>
          <c:yVal>
            <c:numRef>
              <c:f>Sheet1!$F$3:$F$12</c:f>
              <c:numCache>
                <c:formatCode>0.00</c:formatCode>
                <c:ptCount val="10"/>
                <c:pt idx="0">
                  <c:v>1.1825212270000001</c:v>
                </c:pt>
                <c:pt idx="1">
                  <c:v>2.339577663</c:v>
                </c:pt>
                <c:pt idx="2">
                  <c:v>3.4854932540000001</c:v>
                </c:pt>
                <c:pt idx="3">
                  <c:v>4.6154933500000004</c:v>
                </c:pt>
                <c:pt idx="4">
                  <c:v>5.7295779509999996</c:v>
                </c:pt>
                <c:pt idx="5">
                  <c:v>6.7322540929999999</c:v>
                </c:pt>
                <c:pt idx="6">
                  <c:v>7.5280288080000002</c:v>
                </c:pt>
                <c:pt idx="7">
                  <c:v>8.86493033</c:v>
                </c:pt>
                <c:pt idx="8">
                  <c:v>9.5652120800000002</c:v>
                </c:pt>
                <c:pt idx="9">
                  <c:v>10.122254379999999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16-4D10-BAFE-C715AD6BE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4814592"/>
        <c:axId val="854819872"/>
      </c:scatterChart>
      <c:valAx>
        <c:axId val="854814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819872"/>
        <c:crosses val="autoZero"/>
        <c:crossBetween val="midCat"/>
      </c:valAx>
      <c:valAx>
        <c:axId val="85481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814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464992551606718E-2"/>
          <c:y val="5.9711748586492766E-2"/>
          <c:w val="0.89287337731432215"/>
          <c:h val="0.7862955704325506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Target (Hz)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(Sheet1!$B$3:$B$14,Sheet1!$B$16)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15</c:v>
                </c:pt>
              </c:numCache>
            </c:numRef>
          </c:xVal>
          <c:yVal>
            <c:numRef>
              <c:f>(Sheet1!$B$3:$B$14,Sheet1!$B$16)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D6-504B-9FDB-49200685C74A}"/>
            </c:ext>
          </c:extLst>
        </c:ser>
        <c:ser>
          <c:idx val="1"/>
          <c:order val="1"/>
          <c:tx>
            <c:strRef>
              <c:f>Sheet1!$F$2</c:f>
              <c:strCache>
                <c:ptCount val="1"/>
                <c:pt idx="0">
                  <c:v>Actual (Hz)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1177981130737038E-2"/>
                  <c:y val="-4.220697908356169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(Sheet1!$B$3:$B$14,Sheet1!$B$16)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15</c:v>
                </c:pt>
              </c:numCache>
            </c:numRef>
          </c:xVal>
          <c:yVal>
            <c:numRef>
              <c:f>(Sheet1!$F$3:$F$14,Sheet1!$F$16)</c:f>
              <c:numCache>
                <c:formatCode>0.00</c:formatCode>
                <c:ptCount val="13"/>
                <c:pt idx="0">
                  <c:v>1.1825212270000001</c:v>
                </c:pt>
                <c:pt idx="1">
                  <c:v>2.339577663</c:v>
                </c:pt>
                <c:pt idx="2">
                  <c:v>3.4854932540000001</c:v>
                </c:pt>
                <c:pt idx="3">
                  <c:v>4.6154933500000004</c:v>
                </c:pt>
                <c:pt idx="4">
                  <c:v>5.7295779509999996</c:v>
                </c:pt>
                <c:pt idx="5">
                  <c:v>6.7322540929999999</c:v>
                </c:pt>
                <c:pt idx="6">
                  <c:v>7.5280288080000002</c:v>
                </c:pt>
                <c:pt idx="7">
                  <c:v>8.86493033</c:v>
                </c:pt>
                <c:pt idx="8">
                  <c:v>9.5652120800000002</c:v>
                </c:pt>
                <c:pt idx="9">
                  <c:v>10.122254379999999</c:v>
                </c:pt>
                <c:pt idx="10">
                  <c:v>10.583803720000001</c:v>
                </c:pt>
                <c:pt idx="11">
                  <c:v>10.965775580000001</c:v>
                </c:pt>
                <c:pt idx="12">
                  <c:v>15.835916839999999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D6-504B-9FDB-49200685C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0288559"/>
        <c:axId val="1782221903"/>
      </c:scatterChart>
      <c:valAx>
        <c:axId val="1750288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Frequency input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221903"/>
        <c:crosses val="autoZero"/>
        <c:crossBetween val="midCat"/>
      </c:valAx>
      <c:valAx>
        <c:axId val="178222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Frequency</a:t>
                </a:r>
                <a:r>
                  <a:rPr lang="en-US" b="1" baseline="0">
                    <a:solidFill>
                      <a:schemeClr val="tx1"/>
                    </a:solidFill>
                  </a:rPr>
                  <a:t> output (Hz)</a:t>
                </a:r>
                <a:endParaRPr lang="en-US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2885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066950414981911"/>
          <c:y val="0.93419577508758544"/>
          <c:w val="0.562928763651379"/>
          <c:h val="5.4466606583815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464992551606718E-2"/>
          <c:y val="5.9711748586492766E-2"/>
          <c:w val="0.89287337731432215"/>
          <c:h val="0.7862955704325506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Target (Hz), corrected</c:v>
                </c:pt>
              </c:strCache>
            </c:strRef>
          </c:tx>
          <c:spPr>
            <a:ln w="254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(Sheet1!$C$3:$C$14,Sheet1!$C$16)</c:f>
              <c:numCache>
                <c:formatCode>General</c:formatCode>
                <c:ptCount val="13"/>
                <c:pt idx="0">
                  <c:v>1.1180000000000001</c:v>
                </c:pt>
                <c:pt idx="1">
                  <c:v>2.2360000000000002</c:v>
                </c:pt>
                <c:pt idx="2">
                  <c:v>3.3540000000000001</c:v>
                </c:pt>
                <c:pt idx="3">
                  <c:v>4.4720000000000004</c:v>
                </c:pt>
                <c:pt idx="4">
                  <c:v>5.5900000000000007</c:v>
                </c:pt>
                <c:pt idx="5">
                  <c:v>6.7080000000000002</c:v>
                </c:pt>
                <c:pt idx="6">
                  <c:v>7.8260000000000005</c:v>
                </c:pt>
                <c:pt idx="7">
                  <c:v>8.9440000000000008</c:v>
                </c:pt>
                <c:pt idx="8">
                  <c:v>10.062000000000001</c:v>
                </c:pt>
                <c:pt idx="9">
                  <c:v>11.180000000000001</c:v>
                </c:pt>
                <c:pt idx="10">
                  <c:v>12.298000000000002</c:v>
                </c:pt>
                <c:pt idx="11">
                  <c:v>13.416</c:v>
                </c:pt>
                <c:pt idx="12">
                  <c:v>16.770000000000003</c:v>
                </c:pt>
              </c:numCache>
            </c:numRef>
          </c:xVal>
          <c:yVal>
            <c:numRef>
              <c:f>(Sheet1!$C$3:$C$14,Sheet1!$C$16)</c:f>
              <c:numCache>
                <c:formatCode>General</c:formatCode>
                <c:ptCount val="13"/>
                <c:pt idx="0">
                  <c:v>1.1180000000000001</c:v>
                </c:pt>
                <c:pt idx="1">
                  <c:v>2.2360000000000002</c:v>
                </c:pt>
                <c:pt idx="2">
                  <c:v>3.3540000000000001</c:v>
                </c:pt>
                <c:pt idx="3">
                  <c:v>4.4720000000000004</c:v>
                </c:pt>
                <c:pt idx="4">
                  <c:v>5.5900000000000007</c:v>
                </c:pt>
                <c:pt idx="5">
                  <c:v>6.7080000000000002</c:v>
                </c:pt>
                <c:pt idx="6">
                  <c:v>7.8260000000000005</c:v>
                </c:pt>
                <c:pt idx="7">
                  <c:v>8.9440000000000008</c:v>
                </c:pt>
                <c:pt idx="8">
                  <c:v>10.062000000000001</c:v>
                </c:pt>
                <c:pt idx="9">
                  <c:v>11.180000000000001</c:v>
                </c:pt>
                <c:pt idx="10">
                  <c:v>12.298000000000002</c:v>
                </c:pt>
                <c:pt idx="11">
                  <c:v>13.416</c:v>
                </c:pt>
                <c:pt idx="12">
                  <c:v>16.770000000000003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68-4761-AFCE-04DE0BF94E2A}"/>
            </c:ext>
          </c:extLst>
        </c:ser>
        <c:ser>
          <c:idx val="1"/>
          <c:order val="1"/>
          <c:tx>
            <c:strRef>
              <c:f>Sheet1!$F$2</c:f>
              <c:strCache>
                <c:ptCount val="1"/>
                <c:pt idx="0">
                  <c:v>Actual (Hz)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(Sheet1!$C$3:$C$14,Sheet1!$B$16)</c:f>
              <c:numCache>
                <c:formatCode>General</c:formatCode>
                <c:ptCount val="13"/>
                <c:pt idx="0">
                  <c:v>1.1180000000000001</c:v>
                </c:pt>
                <c:pt idx="1">
                  <c:v>2.2360000000000002</c:v>
                </c:pt>
                <c:pt idx="2">
                  <c:v>3.3540000000000001</c:v>
                </c:pt>
                <c:pt idx="3">
                  <c:v>4.4720000000000004</c:v>
                </c:pt>
                <c:pt idx="4">
                  <c:v>5.5900000000000007</c:v>
                </c:pt>
                <c:pt idx="5">
                  <c:v>6.7080000000000002</c:v>
                </c:pt>
                <c:pt idx="6">
                  <c:v>7.8260000000000005</c:v>
                </c:pt>
                <c:pt idx="7">
                  <c:v>8.9440000000000008</c:v>
                </c:pt>
                <c:pt idx="8">
                  <c:v>10.062000000000001</c:v>
                </c:pt>
                <c:pt idx="9">
                  <c:v>11.180000000000001</c:v>
                </c:pt>
                <c:pt idx="10">
                  <c:v>12.298000000000002</c:v>
                </c:pt>
                <c:pt idx="11">
                  <c:v>13.416</c:v>
                </c:pt>
                <c:pt idx="12">
                  <c:v>15</c:v>
                </c:pt>
              </c:numCache>
            </c:numRef>
          </c:xVal>
          <c:yVal>
            <c:numRef>
              <c:f>(Sheet1!$F$3:$F$14,Sheet1!$F$16)</c:f>
              <c:numCache>
                <c:formatCode>0.00</c:formatCode>
                <c:ptCount val="13"/>
                <c:pt idx="0">
                  <c:v>1.1825212270000001</c:v>
                </c:pt>
                <c:pt idx="1">
                  <c:v>2.339577663</c:v>
                </c:pt>
                <c:pt idx="2">
                  <c:v>3.4854932540000001</c:v>
                </c:pt>
                <c:pt idx="3">
                  <c:v>4.6154933500000004</c:v>
                </c:pt>
                <c:pt idx="4">
                  <c:v>5.7295779509999996</c:v>
                </c:pt>
                <c:pt idx="5">
                  <c:v>6.7322540929999999</c:v>
                </c:pt>
                <c:pt idx="6">
                  <c:v>7.5280288080000002</c:v>
                </c:pt>
                <c:pt idx="7">
                  <c:v>8.86493033</c:v>
                </c:pt>
                <c:pt idx="8">
                  <c:v>9.5652120800000002</c:v>
                </c:pt>
                <c:pt idx="9">
                  <c:v>10.122254379999999</c:v>
                </c:pt>
                <c:pt idx="10">
                  <c:v>10.583803720000001</c:v>
                </c:pt>
                <c:pt idx="11">
                  <c:v>10.965775580000001</c:v>
                </c:pt>
                <c:pt idx="12">
                  <c:v>15.835916839999999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C68-4761-AFCE-04DE0BF94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0288559"/>
        <c:axId val="1782221903"/>
      </c:scatterChart>
      <c:valAx>
        <c:axId val="1750288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Corrected</a:t>
                </a:r>
                <a:r>
                  <a:rPr lang="en-US" b="1" baseline="0">
                    <a:solidFill>
                      <a:schemeClr val="tx1"/>
                    </a:solidFill>
                  </a:rPr>
                  <a:t> </a:t>
                </a:r>
                <a:r>
                  <a:rPr lang="en-US" b="1">
                    <a:solidFill>
                      <a:schemeClr val="tx1"/>
                    </a:solidFill>
                  </a:rPr>
                  <a:t>Frequency Input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221903"/>
        <c:crosses val="autoZero"/>
        <c:crossBetween val="midCat"/>
      </c:valAx>
      <c:valAx>
        <c:axId val="178222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Frequency</a:t>
                </a:r>
                <a:r>
                  <a:rPr lang="en-US" b="1" baseline="0">
                    <a:solidFill>
                      <a:schemeClr val="tx1"/>
                    </a:solidFill>
                  </a:rPr>
                  <a:t> output (Hz)</a:t>
                </a:r>
                <a:endParaRPr lang="en-US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2885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066950414981911"/>
          <c:y val="0.93419577508758544"/>
          <c:w val="0.562928763651379"/>
          <c:h val="5.4466606583815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221806649168853"/>
                  <c:y val="-0.171712962962962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Sheet1!$C$40:$C$53</c:f>
              <c:numCache>
                <c:formatCode>General</c:formatCode>
                <c:ptCount val="14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8.0000000000000002E-3</c:v>
                </c:pt>
                <c:pt idx="7">
                  <c:v>8.0000000000000002E-3</c:v>
                </c:pt>
                <c:pt idx="8">
                  <c:v>8.0000000000000002E-3</c:v>
                </c:pt>
                <c:pt idx="9">
                  <c:v>8.0000000000000002E-3</c:v>
                </c:pt>
                <c:pt idx="10">
                  <c:v>8.0000000000000002E-3</c:v>
                </c:pt>
                <c:pt idx="11">
                  <c:v>8.0000000000000002E-3</c:v>
                </c:pt>
                <c:pt idx="12">
                  <c:v>1E-3</c:v>
                </c:pt>
                <c:pt idx="13">
                  <c:v>5.0000000000000001E-3</c:v>
                </c:pt>
              </c:numCache>
            </c:numRef>
          </c:xVal>
          <c:yVal>
            <c:numRef>
              <c:f>Sheet1!$D$40:$D$53</c:f>
              <c:numCache>
                <c:formatCode>General</c:formatCode>
                <c:ptCount val="14"/>
                <c:pt idx="0">
                  <c:v>8.9800000000000001E-3</c:v>
                </c:pt>
                <c:pt idx="1">
                  <c:v>9.0600000000000003E-3</c:v>
                </c:pt>
                <c:pt idx="2">
                  <c:v>9.0699999999999999E-3</c:v>
                </c:pt>
                <c:pt idx="3">
                  <c:v>9.1900000000000003E-3</c:v>
                </c:pt>
                <c:pt idx="4">
                  <c:v>9.1599999999999997E-3</c:v>
                </c:pt>
                <c:pt idx="5">
                  <c:v>9.2099999999999994E-3</c:v>
                </c:pt>
                <c:pt idx="6">
                  <c:v>7.4400000000000004E-3</c:v>
                </c:pt>
                <c:pt idx="7">
                  <c:v>7.4000000000000003E-3</c:v>
                </c:pt>
                <c:pt idx="8">
                  <c:v>7.3600000000000002E-3</c:v>
                </c:pt>
                <c:pt idx="9">
                  <c:v>7.3099999999999997E-3</c:v>
                </c:pt>
                <c:pt idx="10">
                  <c:v>6.7400000000000003E-3</c:v>
                </c:pt>
                <c:pt idx="11">
                  <c:v>6.8199999999999997E-3</c:v>
                </c:pt>
                <c:pt idx="12">
                  <c:v>2.97E-3</c:v>
                </c:pt>
                <c:pt idx="13">
                  <c:v>5.5799999999999999E-3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95-4F9A-B847-702F99B84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6146223"/>
        <c:axId val="1236154863"/>
      </c:scatterChart>
      <c:valAx>
        <c:axId val="1236146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154863"/>
        <c:crosses val="autoZero"/>
        <c:crossBetween val="midCat"/>
      </c:valAx>
      <c:valAx>
        <c:axId val="123615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146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465040001623065E-2"/>
          <c:y val="5.6753249778688904E-2"/>
          <c:w val="0.89287337731432215"/>
          <c:h val="0.7862955704325506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Target (Hz)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(Sheet1!$B$3:$B$14,Sheet1!$B$16)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15</c:v>
                </c:pt>
              </c:numCache>
            </c:numRef>
          </c:xVal>
          <c:yVal>
            <c:numRef>
              <c:f>(Sheet1!$B$3:$B$14,Sheet1!$B$16)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FC-4AA4-89BF-9EACBAC78841}"/>
            </c:ext>
          </c:extLst>
        </c:ser>
        <c:ser>
          <c:idx val="1"/>
          <c:order val="1"/>
          <c:tx>
            <c:strRef>
              <c:f>Sheet1!$F$2</c:f>
              <c:strCache>
                <c:ptCount val="1"/>
                <c:pt idx="0">
                  <c:v>Actual (Hz)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1177981130737038E-2"/>
                  <c:y val="-4.220697908356169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(Sheet1!$B$3:$B$14,Sheet1!$B$16)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15</c:v>
                </c:pt>
              </c:numCache>
            </c:numRef>
          </c:xVal>
          <c:yVal>
            <c:numRef>
              <c:f>(Sheet1!$F$3:$F$14,Sheet1!$F$16)</c:f>
              <c:numCache>
                <c:formatCode>0.00</c:formatCode>
                <c:ptCount val="13"/>
                <c:pt idx="0">
                  <c:v>1.1825212270000001</c:v>
                </c:pt>
                <c:pt idx="1">
                  <c:v>2.339577663</c:v>
                </c:pt>
                <c:pt idx="2">
                  <c:v>3.4854932540000001</c:v>
                </c:pt>
                <c:pt idx="3">
                  <c:v>4.6154933500000004</c:v>
                </c:pt>
                <c:pt idx="4">
                  <c:v>5.7295779509999996</c:v>
                </c:pt>
                <c:pt idx="5">
                  <c:v>6.7322540929999999</c:v>
                </c:pt>
                <c:pt idx="6">
                  <c:v>7.5280288080000002</c:v>
                </c:pt>
                <c:pt idx="7">
                  <c:v>8.86493033</c:v>
                </c:pt>
                <c:pt idx="8">
                  <c:v>9.5652120800000002</c:v>
                </c:pt>
                <c:pt idx="9">
                  <c:v>10.122254379999999</c:v>
                </c:pt>
                <c:pt idx="10">
                  <c:v>10.583803720000001</c:v>
                </c:pt>
                <c:pt idx="11">
                  <c:v>10.965775580000001</c:v>
                </c:pt>
                <c:pt idx="12">
                  <c:v>15.835916839999999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AFC-4AA4-89BF-9EACBAC78841}"/>
            </c:ext>
          </c:extLst>
        </c:ser>
        <c:ser>
          <c:idx val="2"/>
          <c:order val="2"/>
          <c:tx>
            <c:v>Corrected Target (Hz)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Sheet1!$B$3:$B$15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15</c:v>
                </c:pt>
              </c:numCache>
            </c:numRef>
          </c:xVal>
          <c:yVal>
            <c:numRef>
              <c:f>Sheet1!$C$3:$C$15</c:f>
              <c:numCache>
                <c:formatCode>General</c:formatCode>
                <c:ptCount val="13"/>
                <c:pt idx="0">
                  <c:v>1.1180000000000001</c:v>
                </c:pt>
                <c:pt idx="1">
                  <c:v>2.2360000000000002</c:v>
                </c:pt>
                <c:pt idx="2">
                  <c:v>3.3540000000000001</c:v>
                </c:pt>
                <c:pt idx="3">
                  <c:v>4.4720000000000004</c:v>
                </c:pt>
                <c:pt idx="4">
                  <c:v>5.5900000000000007</c:v>
                </c:pt>
                <c:pt idx="5">
                  <c:v>6.7080000000000002</c:v>
                </c:pt>
                <c:pt idx="6">
                  <c:v>7.8260000000000005</c:v>
                </c:pt>
                <c:pt idx="7">
                  <c:v>8.9440000000000008</c:v>
                </c:pt>
                <c:pt idx="8">
                  <c:v>10.062000000000001</c:v>
                </c:pt>
                <c:pt idx="9">
                  <c:v>11.180000000000001</c:v>
                </c:pt>
                <c:pt idx="10">
                  <c:v>12.298000000000002</c:v>
                </c:pt>
                <c:pt idx="11">
                  <c:v>13.416</c:v>
                </c:pt>
                <c:pt idx="12">
                  <c:v>16.770000000000003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AFC-4AA4-89BF-9EACBAC78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0288559"/>
        <c:axId val="1782221903"/>
      </c:scatterChart>
      <c:valAx>
        <c:axId val="1750288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Frequency input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221903"/>
        <c:crosses val="autoZero"/>
        <c:crossBetween val="midCat"/>
      </c:valAx>
      <c:valAx>
        <c:axId val="178222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Frequency</a:t>
                </a:r>
                <a:r>
                  <a:rPr lang="en-US" b="1" baseline="0">
                    <a:solidFill>
                      <a:schemeClr val="tx1"/>
                    </a:solidFill>
                  </a:rPr>
                  <a:t> output (Hz)</a:t>
                </a:r>
                <a:endParaRPr lang="en-US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2885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066950414981911"/>
          <c:y val="0.93419577508758544"/>
          <c:w val="0.75933051641704552"/>
          <c:h val="5.2730855493856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464992551606718E-2"/>
          <c:y val="5.9711748586492766E-2"/>
          <c:w val="0.89287337731432215"/>
          <c:h val="0.7862955704325506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Target (Hz)</c:v>
                </c:pt>
              </c:strCache>
            </c:strRef>
          </c:tx>
          <c:spPr>
            <a:ln w="254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(Sheet1!$B$3:$B$14,Sheet1!$B$16)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15</c:v>
                </c:pt>
              </c:numCache>
            </c:numRef>
          </c:xVal>
          <c:yVal>
            <c:numRef>
              <c:f>(Sheet1!$B$3:$B$14,Sheet1!$B$16)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39-46B5-B1E0-4E1A1DE86C6A}"/>
            </c:ext>
          </c:extLst>
        </c:ser>
        <c:ser>
          <c:idx val="1"/>
          <c:order val="1"/>
          <c:tx>
            <c:strRef>
              <c:f>Sheet1!$F$2</c:f>
              <c:strCache>
                <c:ptCount val="1"/>
                <c:pt idx="0">
                  <c:v>Actual (Hz)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1177981130737038E-2"/>
                  <c:y val="-4.220697908356169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(Sheet1!$B$3:$B$14,Sheet1!$B$16)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15</c:v>
                </c:pt>
              </c:numCache>
            </c:numRef>
          </c:xVal>
          <c:yVal>
            <c:numRef>
              <c:f>(Sheet1!$F$3:$F$14,Sheet1!$F$16)</c:f>
              <c:numCache>
                <c:formatCode>0.00</c:formatCode>
                <c:ptCount val="13"/>
                <c:pt idx="0">
                  <c:v>1.1825212270000001</c:v>
                </c:pt>
                <c:pt idx="1">
                  <c:v>2.339577663</c:v>
                </c:pt>
                <c:pt idx="2">
                  <c:v>3.4854932540000001</c:v>
                </c:pt>
                <c:pt idx="3">
                  <c:v>4.6154933500000004</c:v>
                </c:pt>
                <c:pt idx="4">
                  <c:v>5.7295779509999996</c:v>
                </c:pt>
                <c:pt idx="5">
                  <c:v>6.7322540929999999</c:v>
                </c:pt>
                <c:pt idx="6">
                  <c:v>7.5280288080000002</c:v>
                </c:pt>
                <c:pt idx="7">
                  <c:v>8.86493033</c:v>
                </c:pt>
                <c:pt idx="8">
                  <c:v>9.5652120800000002</c:v>
                </c:pt>
                <c:pt idx="9">
                  <c:v>10.122254379999999</c:v>
                </c:pt>
                <c:pt idx="10">
                  <c:v>10.583803720000001</c:v>
                </c:pt>
                <c:pt idx="11">
                  <c:v>10.965775580000001</c:v>
                </c:pt>
                <c:pt idx="12">
                  <c:v>15.835916839999999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39-46B5-B1E0-4E1A1DE86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0288559"/>
        <c:axId val="1782221903"/>
      </c:scatterChart>
      <c:valAx>
        <c:axId val="1750288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Frequency input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221903"/>
        <c:crosses val="autoZero"/>
        <c:crossBetween val="midCat"/>
      </c:valAx>
      <c:valAx>
        <c:axId val="178222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Frequency</a:t>
                </a:r>
                <a:r>
                  <a:rPr lang="en-US" b="1" baseline="0">
                    <a:solidFill>
                      <a:schemeClr val="tx1"/>
                    </a:solidFill>
                  </a:rPr>
                  <a:t> output (Hz)</a:t>
                </a:r>
                <a:endParaRPr lang="en-US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2885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066950414981911"/>
          <c:y val="0.93419577508758544"/>
          <c:w val="0.562928763651379"/>
          <c:h val="5.4466606583815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input amplitude vs input frequency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38100">
              <a:solidFill>
                <a:schemeClr val="accent2"/>
              </a:solidFill>
            </a:ln>
          </c:spPr>
          <c:marker>
            <c:symbol val="square"/>
            <c:size val="6"/>
            <c:spPr>
              <a:ln>
                <a:noFill/>
              </a:ln>
            </c:spPr>
          </c:marker>
          <c:xVal>
            <c:numRef>
              <c:f>Sheet1!$B$226:$B$232</c:f>
              <c:numCache>
                <c:formatCode>General</c:formatCode>
                <c:ptCount val="7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15</c:v>
                </c:pt>
              </c:numCache>
            </c:numRef>
          </c:xVal>
          <c:yVal>
            <c:numRef>
              <c:f>Sheet1!$D$226:$D$232</c:f>
              <c:numCache>
                <c:formatCode>General</c:formatCode>
                <c:ptCount val="7"/>
                <c:pt idx="0">
                  <c:v>5.0000000000000001E-3</c:v>
                </c:pt>
                <c:pt idx="1">
                  <c:v>5.0000000000000001E-3</c:v>
                </c:pt>
                <c:pt idx="2">
                  <c:v>4.0000000000000001E-3</c:v>
                </c:pt>
                <c:pt idx="3">
                  <c:v>3.5000000000000001E-3</c:v>
                </c:pt>
                <c:pt idx="4">
                  <c:v>3.5000000000000001E-3</c:v>
                </c:pt>
                <c:pt idx="5">
                  <c:v>3.5000000000000001E-3</c:v>
                </c:pt>
                <c:pt idx="6">
                  <c:v>3.0000000000000001E-3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EB-4A7B-A5CF-CAA3B3B126EE}"/>
            </c:ext>
          </c:extLst>
        </c:ser>
        <c:ser>
          <c:idx val="0"/>
          <c:order val="1"/>
          <c:spPr>
            <a:ln w="3810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Sheet1!$B$216:$B$222</c:f>
              <c:numCache>
                <c:formatCode>General</c:formatCode>
                <c:ptCount val="7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15</c:v>
                </c:pt>
              </c:numCache>
            </c:numRef>
          </c:xVal>
          <c:yVal>
            <c:numRef>
              <c:f>Sheet1!$D$216:$D$222</c:f>
              <c:numCache>
                <c:formatCode>General</c:formatCode>
                <c:ptCount val="7"/>
                <c:pt idx="0">
                  <c:v>7.0000000000000007E-2</c:v>
                </c:pt>
                <c:pt idx="1">
                  <c:v>2.5000000000000001E-2</c:v>
                </c:pt>
                <c:pt idx="2">
                  <c:v>1.9E-2</c:v>
                </c:pt>
                <c:pt idx="3">
                  <c:v>1.4999999999999999E-2</c:v>
                </c:pt>
                <c:pt idx="4">
                  <c:v>0.01</c:v>
                </c:pt>
                <c:pt idx="5">
                  <c:v>8.9999999999999993E-3</c:v>
                </c:pt>
                <c:pt idx="6">
                  <c:v>5.0000000000000001E-3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EB-4A7B-A5CF-CAA3B3B12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597967"/>
        <c:axId val="1394596047"/>
      </c:scatterChart>
      <c:valAx>
        <c:axId val="1394597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596047"/>
        <c:crosses val="autoZero"/>
        <c:crossBetween val="midCat"/>
      </c:valAx>
      <c:valAx>
        <c:axId val="139459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59796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 amplitude vs actual frequency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38100">
              <a:solidFill>
                <a:schemeClr val="accent2"/>
              </a:solidFill>
            </a:ln>
          </c:spPr>
          <c:xVal>
            <c:numRef>
              <c:f>Sheet1!$C$226:$C$232</c:f>
              <c:numCache>
                <c:formatCode>General</c:formatCode>
                <c:ptCount val="7"/>
                <c:pt idx="0">
                  <c:v>1.1180000000000001</c:v>
                </c:pt>
                <c:pt idx="1">
                  <c:v>3.3540000000000001</c:v>
                </c:pt>
                <c:pt idx="2">
                  <c:v>4.4720000000000004</c:v>
                </c:pt>
                <c:pt idx="3">
                  <c:v>5.5900000000000007</c:v>
                </c:pt>
                <c:pt idx="4">
                  <c:v>7.8260000000000005</c:v>
                </c:pt>
                <c:pt idx="5">
                  <c:v>10.062000000000001</c:v>
                </c:pt>
                <c:pt idx="6">
                  <c:v>16.770000000000003</c:v>
                </c:pt>
              </c:numCache>
            </c:numRef>
          </c:xVal>
          <c:yVal>
            <c:numRef>
              <c:f>Sheet1!$E$226:$E$232</c:f>
              <c:numCache>
                <c:formatCode>General</c:formatCode>
                <c:ptCount val="7"/>
                <c:pt idx="0">
                  <c:v>4.6482099999999998E-3</c:v>
                </c:pt>
                <c:pt idx="1">
                  <c:v>4.70499E-3</c:v>
                </c:pt>
                <c:pt idx="2">
                  <c:v>3.7035700000000002E-3</c:v>
                </c:pt>
                <c:pt idx="3">
                  <c:v>3.3279099999999999E-3</c:v>
                </c:pt>
                <c:pt idx="4">
                  <c:v>3.4521500000000002E-3</c:v>
                </c:pt>
                <c:pt idx="5">
                  <c:v>3.7163000000000001E-3</c:v>
                </c:pt>
                <c:pt idx="6">
                  <c:v>4.0325999999999999E-3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E9-42C6-B7C4-0721C13266EE}"/>
            </c:ext>
          </c:extLst>
        </c:ser>
        <c:ser>
          <c:idx val="0"/>
          <c:order val="1"/>
          <c:spPr>
            <a:ln w="38100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Sheet1!$C$216:$C$222</c:f>
              <c:numCache>
                <c:formatCode>General</c:formatCode>
                <c:ptCount val="7"/>
                <c:pt idx="0">
                  <c:v>1.1180000000000001</c:v>
                </c:pt>
                <c:pt idx="1">
                  <c:v>3.3540000000000001</c:v>
                </c:pt>
                <c:pt idx="2">
                  <c:v>4.4720000000000004</c:v>
                </c:pt>
                <c:pt idx="3">
                  <c:v>5.5900000000000007</c:v>
                </c:pt>
                <c:pt idx="4">
                  <c:v>7.8260000000000005</c:v>
                </c:pt>
                <c:pt idx="5">
                  <c:v>10.062000000000001</c:v>
                </c:pt>
                <c:pt idx="6">
                  <c:v>16.770000000000003</c:v>
                </c:pt>
              </c:numCache>
            </c:numRef>
          </c:xVal>
          <c:yVal>
            <c:numRef>
              <c:f>Sheet1!$E$216:$E$222</c:f>
              <c:numCache>
                <c:formatCode>0.00000E+00</c:formatCode>
                <c:ptCount val="7"/>
                <c:pt idx="0" formatCode="General">
                  <c:v>6.6182099999999994E-2</c:v>
                </c:pt>
                <c:pt idx="1">
                  <c:v>2.27884E-2</c:v>
                </c:pt>
                <c:pt idx="2" formatCode="General">
                  <c:v>1.7364000000000001E-2</c:v>
                </c:pt>
                <c:pt idx="3" formatCode="General">
                  <c:v>1.38669E-2</c:v>
                </c:pt>
                <c:pt idx="4" formatCode="General">
                  <c:v>9.5583400000000002E-3</c:v>
                </c:pt>
                <c:pt idx="5" formatCode="General">
                  <c:v>7.6119300000000003E-3</c:v>
                </c:pt>
                <c:pt idx="6" formatCode="General">
                  <c:v>4.9398000000000003E-3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E9-42C6-B7C4-0721C1326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597967"/>
        <c:axId val="1394596047"/>
      </c:scatterChart>
      <c:valAx>
        <c:axId val="1394597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596047"/>
        <c:crosses val="autoZero"/>
        <c:crossBetween val="midCat"/>
      </c:valAx>
      <c:valAx>
        <c:axId val="139459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59796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Sheet1!$J$216:$J$223</c:f>
              <c:numCache>
                <c:formatCode>0.00</c:formatCode>
                <c:ptCount val="8"/>
                <c:pt idx="0">
                  <c:v>1.02308494565</c:v>
                </c:pt>
                <c:pt idx="1">
                  <c:v>3.0625878339999995</c:v>
                </c:pt>
                <c:pt idx="2">
                  <c:v>4.0761982825</c:v>
                </c:pt>
                <c:pt idx="3">
                  <c:v>5.1381918509999993</c:v>
                </c:pt>
                <c:pt idx="4">
                  <c:v>7.4635418939999987</c:v>
                </c:pt>
                <c:pt idx="5">
                  <c:v>9.0578293599999995</c:v>
                </c:pt>
                <c:pt idx="6">
                  <c:v>15.825099959999999</c:v>
                </c:pt>
                <c:pt idx="7">
                  <c:v>15.825099959999999</c:v>
                </c:pt>
              </c:numCache>
            </c:numRef>
          </c:xVal>
          <c:yVal>
            <c:numRef>
              <c:f>Sheet1!$S$216:$S$223</c:f>
              <c:numCache>
                <c:formatCode>0.000000</c:formatCode>
                <c:ptCount val="8"/>
                <c:pt idx="0">
                  <c:v>4.5846319367871839E-3</c:v>
                </c:pt>
                <c:pt idx="1">
                  <c:v>4.8708502054954621E-3</c:v>
                </c:pt>
                <c:pt idx="2">
                  <c:v>5.0096819845083249E-3</c:v>
                </c:pt>
                <c:pt idx="3">
                  <c:v>5.0766754430832256E-3</c:v>
                </c:pt>
                <c:pt idx="4">
                  <c:v>5.0892630550090408E-3</c:v>
                </c:pt>
                <c:pt idx="5">
                  <c:v>4.7537664491912887E-3</c:v>
                </c:pt>
                <c:pt idx="6">
                  <c:v>6.110991159843677E-3</c:v>
                </c:pt>
                <c:pt idx="7">
                  <c:v>5.3022114555052111E-3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D6-4382-8D1B-3F5C49C2A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597967"/>
        <c:axId val="1394590767"/>
      </c:scatterChart>
      <c:valAx>
        <c:axId val="1394597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590767"/>
        <c:crosses val="autoZero"/>
        <c:crossBetween val="midCat"/>
      </c:valAx>
      <c:valAx>
        <c:axId val="139459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597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613922713809254E-2"/>
          <c:y val="2.9140525512211059E-2"/>
          <c:w val="0.87601681885834137"/>
          <c:h val="0.84928627147686131"/>
        </c:manualLayout>
      </c:layout>
      <c:scatterChart>
        <c:scatterStyle val="lineMarker"/>
        <c:varyColors val="0"/>
        <c:ser>
          <c:idx val="0"/>
          <c:order val="0"/>
          <c:tx>
            <c:strRef>
              <c:f>Fig4a!$B$1</c:f>
              <c:strCache>
                <c:ptCount val="1"/>
                <c:pt idx="0">
                  <c:v>Input Frequency (Hz)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Fig4a!$A$2:$A$15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15</c:v>
                </c:pt>
              </c:numCache>
            </c:numRef>
          </c:xVal>
          <c:yVal>
            <c:numRef>
              <c:f>Fig4a!$B$2:$B$15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A0-6945-8ADD-E934396422B1}"/>
            </c:ext>
          </c:extLst>
        </c:ser>
        <c:ser>
          <c:idx val="1"/>
          <c:order val="1"/>
          <c:tx>
            <c:strRef>
              <c:f>Fig4a!$D$1</c:f>
              <c:strCache>
                <c:ptCount val="1"/>
                <c:pt idx="0">
                  <c:v>Output Frequency (Hz)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Fig4a!$A$2:$A$15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15</c:v>
                </c:pt>
              </c:numCache>
            </c:numRef>
          </c:xVal>
          <c:yVal>
            <c:numRef>
              <c:f>Fig4a!$D$2:$D$15</c:f>
              <c:numCache>
                <c:formatCode>0.00</c:formatCode>
                <c:ptCount val="14"/>
                <c:pt idx="0">
                  <c:v>1.1825212270000001</c:v>
                </c:pt>
                <c:pt idx="1">
                  <c:v>2.339577663</c:v>
                </c:pt>
                <c:pt idx="2">
                  <c:v>3.4854932540000001</c:v>
                </c:pt>
                <c:pt idx="3">
                  <c:v>4.6154933500000004</c:v>
                </c:pt>
                <c:pt idx="4">
                  <c:v>5.7295779509999996</c:v>
                </c:pt>
                <c:pt idx="5">
                  <c:v>6.7322540929999999</c:v>
                </c:pt>
                <c:pt idx="6">
                  <c:v>7.5280288080000002</c:v>
                </c:pt>
                <c:pt idx="7">
                  <c:v>8.86493033</c:v>
                </c:pt>
                <c:pt idx="8">
                  <c:v>9.5652120800000002</c:v>
                </c:pt>
                <c:pt idx="9">
                  <c:v>10.122254379999999</c:v>
                </c:pt>
                <c:pt idx="10">
                  <c:v>10.583803720000001</c:v>
                </c:pt>
                <c:pt idx="11">
                  <c:v>10.965775580000001</c:v>
                </c:pt>
                <c:pt idx="12">
                  <c:v>15.835916839999999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A0-6945-8ADD-E934396422B1}"/>
            </c:ext>
          </c:extLst>
        </c:ser>
        <c:ser>
          <c:idx val="2"/>
          <c:order val="2"/>
          <c:tx>
            <c:strRef>
              <c:f>Fig4a!$E$1</c:f>
              <c:strCache>
                <c:ptCount val="1"/>
                <c:pt idx="0">
                  <c:v>Corrected Output Frequency (Hz)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3048486843074747"/>
                  <c:y val="8.6132798175841838E-2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Fig4a!$A$2:$A$9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Fig4a!$E$2:$E$9</c:f>
              <c:numCache>
                <c:formatCode>0.00</c:formatCode>
                <c:ptCount val="8"/>
                <c:pt idx="0">
                  <c:v>1.0577112942754918</c:v>
                </c:pt>
                <c:pt idx="1">
                  <c:v>2.0926454946332735</c:v>
                </c:pt>
                <c:pt idx="2">
                  <c:v>3.1176147173524149</c:v>
                </c:pt>
                <c:pt idx="3">
                  <c:v>4.128348255813953</c:v>
                </c:pt>
                <c:pt idx="4">
                  <c:v>5.1248461100178879</c:v>
                </c:pt>
                <c:pt idx="5">
                  <c:v>6.0216941797853298</c:v>
                </c:pt>
                <c:pt idx="6">
                  <c:v>6.7334783613595706</c:v>
                </c:pt>
                <c:pt idx="7">
                  <c:v>7.929275787119856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A0-6945-8ADD-E934396422B1}"/>
            </c:ext>
          </c:extLst>
        </c:ser>
        <c:ser>
          <c:idx val="3"/>
          <c:order val="3"/>
          <c:spPr>
            <a:ln w="190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005162564286451"/>
                  <c:y val="0.10175268523272017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Fig4a!$A$2:$A$9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Fig4a!$D$2:$D$9</c:f>
              <c:numCache>
                <c:formatCode>0.00</c:formatCode>
                <c:ptCount val="8"/>
                <c:pt idx="0">
                  <c:v>1.1825212270000001</c:v>
                </c:pt>
                <c:pt idx="1">
                  <c:v>2.339577663</c:v>
                </c:pt>
                <c:pt idx="2">
                  <c:v>3.4854932540000001</c:v>
                </c:pt>
                <c:pt idx="3">
                  <c:v>4.6154933500000004</c:v>
                </c:pt>
                <c:pt idx="4">
                  <c:v>5.7295779509999996</c:v>
                </c:pt>
                <c:pt idx="5">
                  <c:v>6.7322540929999999</c:v>
                </c:pt>
                <c:pt idx="6">
                  <c:v>7.5280288080000002</c:v>
                </c:pt>
                <c:pt idx="7">
                  <c:v>8.86493033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A0-6945-8ADD-E93439642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7149311"/>
        <c:axId val="1962962831"/>
      </c:scatterChart>
      <c:valAx>
        <c:axId val="1947149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Input Frequency (Hz)</a:t>
                </a:r>
              </a:p>
            </c:rich>
          </c:tx>
          <c:layout>
            <c:manualLayout>
              <c:xMode val="edge"/>
              <c:yMode val="edge"/>
              <c:x val="0.42132723584224463"/>
              <c:y val="0.940128811163634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962831"/>
        <c:crosses val="autoZero"/>
        <c:crossBetween val="midCat"/>
        <c:minorUnit val="1"/>
      </c:valAx>
      <c:valAx>
        <c:axId val="1962962831"/>
        <c:scaling>
          <c:orientation val="minMax"/>
          <c:max val="16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Output 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149311"/>
        <c:crosses val="autoZero"/>
        <c:crossBetween val="midCat"/>
        <c:minorUnit val="1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10386411305573703"/>
          <c:y val="4.7664797615793369E-2"/>
          <c:w val="0.39052495075670129"/>
          <c:h val="0.1648669551361118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264317</xdr:colOff>
      <xdr:row>3</xdr:row>
      <xdr:rowOff>171450</xdr:rowOff>
    </xdr:from>
    <xdr:to>
      <xdr:col>21</xdr:col>
      <xdr:colOff>321467</xdr:colOff>
      <xdr:row>19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CDCF9A-7A85-7987-73BB-E84B7F40C7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332696</xdr:colOff>
      <xdr:row>19</xdr:row>
      <xdr:rowOff>6803</xdr:rowOff>
    </xdr:from>
    <xdr:to>
      <xdr:col>23</xdr:col>
      <xdr:colOff>350384</xdr:colOff>
      <xdr:row>34</xdr:row>
      <xdr:rowOff>35379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32356D-877D-4500-8488-4C09114B7C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557213</xdr:colOff>
      <xdr:row>26</xdr:row>
      <xdr:rowOff>46038</xdr:rowOff>
    </xdr:from>
    <xdr:to>
      <xdr:col>24</xdr:col>
      <xdr:colOff>111125</xdr:colOff>
      <xdr:row>49</xdr:row>
      <xdr:rowOff>176213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D07408E-D280-E641-A152-46AB17DFF6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523877</xdr:colOff>
      <xdr:row>54</xdr:row>
      <xdr:rowOff>19049</xdr:rowOff>
    </xdr:from>
    <xdr:to>
      <xdr:col>36</xdr:col>
      <xdr:colOff>601664</xdr:colOff>
      <xdr:row>77</xdr:row>
      <xdr:rowOff>149224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BB1B8A-9E31-4457-8A0D-8F22D9EC5D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1584210</xdr:colOff>
      <xdr:row>58</xdr:row>
      <xdr:rowOff>138111</xdr:rowOff>
    </xdr:from>
    <xdr:to>
      <xdr:col>19</xdr:col>
      <xdr:colOff>489857</xdr:colOff>
      <xdr:row>73</xdr:row>
      <xdr:rowOff>166686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B4F010-43C4-E225-E942-EC2CEBA73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328613</xdr:colOff>
      <xdr:row>80</xdr:row>
      <xdr:rowOff>33337</xdr:rowOff>
    </xdr:from>
    <xdr:to>
      <xdr:col>38</xdr:col>
      <xdr:colOff>511175</xdr:colOff>
      <xdr:row>103</xdr:row>
      <xdr:rowOff>163512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84180BB-FA09-4100-9C03-4B1FA974E1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614362</xdr:colOff>
      <xdr:row>54</xdr:row>
      <xdr:rowOff>9524</xdr:rowOff>
    </xdr:from>
    <xdr:to>
      <xdr:col>25</xdr:col>
      <xdr:colOff>520699</xdr:colOff>
      <xdr:row>77</xdr:row>
      <xdr:rowOff>139699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88EDF9F-83CE-4046-8F52-052CE67F86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170088</xdr:colOff>
      <xdr:row>233</xdr:row>
      <xdr:rowOff>84364</xdr:rowOff>
    </xdr:from>
    <xdr:to>
      <xdr:col>5</xdr:col>
      <xdr:colOff>428624</xdr:colOff>
      <xdr:row>248</xdr:row>
      <xdr:rowOff>72117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395EC98-81A6-B3C7-628F-0786400365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333375</xdr:colOff>
      <xdr:row>233</xdr:row>
      <xdr:rowOff>47625</xdr:rowOff>
    </xdr:from>
    <xdr:to>
      <xdr:col>12</xdr:col>
      <xdr:colOff>306161</xdr:colOff>
      <xdr:row>248</xdr:row>
      <xdr:rowOff>35378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A005DEC-C090-441A-80B4-F5F0DD074F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738188</xdr:colOff>
      <xdr:row>238</xdr:row>
      <xdr:rowOff>70756</xdr:rowOff>
    </xdr:from>
    <xdr:to>
      <xdr:col>19</xdr:col>
      <xdr:colOff>71437</xdr:colOff>
      <xdr:row>253</xdr:row>
      <xdr:rowOff>58508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D05CD4D-E1A7-F820-F9D6-D0575F75C3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654050</xdr:colOff>
      <xdr:row>9</xdr:row>
      <xdr:rowOff>57150</xdr:rowOff>
    </xdr:from>
    <xdr:to>
      <xdr:col>14</xdr:col>
      <xdr:colOff>101600</xdr:colOff>
      <xdr:row>48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B2116B-B396-56A6-8CE6-A3643D120D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2E020D0-1C05-4147-AE9F-AC6B21A239F4}" name="Table3" displayName="Table3" ref="A101:V212" totalsRowShown="0" headerRowDxfId="0">
  <autoFilter ref="A101:V212" xr:uid="{92E020D0-1C05-4147-AE9F-AC6B21A239F4}"/>
  <tableColumns count="22">
    <tableColumn id="1" xr3:uid="{980B8363-6046-4ECA-801F-D16033C5D7F4}" name="Run"/>
    <tableColumn id="2" xr3:uid="{5DB5C445-19F7-4F38-8090-32B12E3A8CD2}" name="Target (hz)"/>
    <tableColumn id="3" xr3:uid="{103C39CD-C208-45D8-910D-D6BF8C160F0C}" name="Target (hz) corrected">
      <calculatedColumnFormula>B102*1.118</calculatedColumnFormula>
    </tableColumn>
    <tableColumn id="4" xr3:uid="{14517E2C-88AA-4DA2-908E-5DA24B666250}" name="Target Amplitude (m)"/>
    <tableColumn id="5" xr3:uid="{17DE6E1F-818A-47E9-B716-20C796D0F985}" name="Actual Amplitude (m)"/>
    <tableColumn id="6" xr3:uid="{2E53F59C-094C-415E-B5F8-5104509D6C0F}" name="fit uncertainty"/>
    <tableColumn id="7" xr3:uid="{18A88100-F613-4A96-9568-89C78C6E3A7E}" name="actual (rad/s)" dataDxfId="35"/>
    <tableColumn id="8" xr3:uid="{1F06ED37-7705-4471-8300-3B3E8C2D32D1}" name="Fit uncertainty2" dataDxfId="34"/>
    <tableColumn id="23" xr3:uid="{F4E6A5CC-47C1-4358-B8B4-6AFCB7287BE9}" name="rmse" dataDxfId="33"/>
    <tableColumn id="9" xr3:uid="{F761AA6D-1500-405E-8540-824FEBF907A3}" name="actual (hz)" dataDxfId="32">
      <calculatedColumnFormula>0.159155*G102</calculatedColumnFormula>
    </tableColumn>
    <tableColumn id="10" xr3:uid="{744401A1-6A1F-47CE-A84D-22CB63EE0CC2}" name="error (hz)" dataDxfId="31">
      <calculatedColumnFormula>J102-B102</calculatedColumnFormula>
    </tableColumn>
    <tableColumn id="12" xr3:uid="{E4646EC5-205F-4400-A903-EC479BD40E25}" name="% error" dataDxfId="30" dataCellStyle="Percent">
      <calculatedColumnFormula>K102/B102</calculatedColumnFormula>
    </tableColumn>
    <tableColumn id="13" xr3:uid="{B7BF5683-EE6B-4BD0-B8E6-18C634B7434D}" name="error from corrected target" dataDxfId="29">
      <calculatedColumnFormula>J102-C102</calculatedColumnFormula>
    </tableColumn>
    <tableColumn id="14" xr3:uid="{925ACC3D-889F-464F-A4EF-3319AE3B8D6F}" name="% error from corrected target" dataDxfId="28" dataCellStyle="Percent">
      <calculatedColumnFormula>M102/C102</calculatedColumnFormula>
    </tableColumn>
    <tableColumn id="15" xr3:uid="{193E406A-37E1-4B66-BCB9-6E8C5AA70CA8}" name="Stdev (hz)" dataDxfId="27"/>
    <tableColumn id="16" xr3:uid="{48EC40BE-76DA-4928-BF57-84B81DE609F8}" name="stdev(rad/s)" dataDxfId="26">
      <calculatedColumnFormula>_xlfn.STDEV.S(G102:G104)</calculatedColumnFormula>
    </tableColumn>
    <tableColumn id="17" xr3:uid="{CE20BD02-2FDD-4ACB-89EE-43EB1B9C5A61}" name="stdev(m)" dataDxfId="25">
      <calculatedColumnFormula>_xlfn.STDEV.S(E102:E104)</calculatedColumnFormula>
    </tableColumn>
    <tableColumn id="18" xr3:uid="{15668B4F-FBD3-49C3-AB32-10C4264DFB5E}" name="stderr(rad)" dataDxfId="24">
      <calculatedColumnFormula>Table3[[#This Row],[stdev(rad/s)]]/SQRT(3)</calculatedColumnFormula>
    </tableColumn>
    <tableColumn id="19" xr3:uid="{02F36077-4097-4F06-8F81-2F098F78DED5}" name="% RSD(f)" dataDxfId="23" dataCellStyle="Percent">
      <calculatedColumnFormula>Table3[[#This Row],[stdev(rad/s)]]/AVERAGE(G102:G104)</calculatedColumnFormula>
    </tableColumn>
    <tableColumn id="20" xr3:uid="{470D595F-A5D2-432C-B3D1-A1D44261E487}" name="%RSD(A)" dataDxfId="22">
      <calculatedColumnFormula>Table3[[#This Row],[stdev(m)]]/AVERAGE(E102:E104)</calculatedColumnFormula>
    </tableColumn>
    <tableColumn id="21" xr3:uid="{567D3B07-FEFE-4736-93D5-CC82C6B49D00}" name="amplitude error" dataDxfId="21">
      <calculatedColumnFormula>(AVERAGE(E102:E104)-Table3[[#This Row],[Target Amplitude (m)]])/Table3[[#This Row],[Target Amplitude (m)]]</calculatedColumnFormula>
    </tableColumn>
    <tableColumn id="11" xr3:uid="{6B96F153-330C-4FCD-80C3-27F41EA2166D}" name="Notes"/>
  </tableColumns>
  <tableStyleInfo name="Table Style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EEF784-EE72-4A97-8C4D-F76886000497}" name="Table1" displayName="Table1" ref="B2:J16" totalsRowShown="0">
  <autoFilter ref="B2:J16" xr:uid="{F8EEF784-EE72-4A97-8C4D-F76886000497}"/>
  <tableColumns count="9">
    <tableColumn id="1" xr3:uid="{409D46A7-BA87-4D2B-8856-0539399FBF86}" name="Target (Hz)"/>
    <tableColumn id="2" xr3:uid="{71241A02-07CD-4A03-A5AA-6D869CB574B1}" name="Target (Hz), corrected">
      <calculatedColumnFormula>B3*1.118</calculatedColumnFormula>
    </tableColumn>
    <tableColumn id="3" xr3:uid="{04A82926-60EF-44D6-B596-30DDE28BDE75}" name="Amplitude (m)"/>
    <tableColumn id="4" xr3:uid="{DEA8B0CC-50B3-4A3D-A48C-9FA63EF51512}" name="actual (rad/s)"/>
    <tableColumn id="5" xr3:uid="{EC9126B3-2302-4464-9F19-72D7DAADB19D}" name="Actual (Hz)" dataDxfId="20"/>
    <tableColumn id="6" xr3:uid="{D90EC568-1E56-4CBA-B9DE-AADB85B0D0FA}" name="error (hz)" dataDxfId="19">
      <calculatedColumnFormula>F3-B3</calculatedColumnFormula>
    </tableColumn>
    <tableColumn id="7" xr3:uid="{3FEBD888-82BF-4F89-9558-57AD7FF579FD}" name="% error" dataDxfId="18" dataCellStyle="Percent">
      <calculatedColumnFormula>G3/B3</calculatedColumnFormula>
    </tableColumn>
    <tableColumn id="8" xr3:uid="{C4A8001A-BADB-4C6A-956B-6AAD7AB49181}" name="error from corrected target" dataDxfId="17">
      <calculatedColumnFormula>F3-C3</calculatedColumnFormula>
    </tableColumn>
    <tableColumn id="9" xr3:uid="{1B8E5C7A-31F6-461D-86CD-451982171873}" name="% error from corrected target" dataDxfId="16" dataCellStyle="Percent">
      <calculatedColumnFormula>I3/C3</calculatedColumnFormula>
    </tableColumn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4E9B1C-E411-4974-83DA-4682E3B92B8E}" name="Table2" displayName="Table2" ref="B18:G32" totalsRowShown="0">
  <autoFilter ref="B18:G32" xr:uid="{314E9B1C-E411-4974-83DA-4682E3B92B8E}"/>
  <tableColumns count="6">
    <tableColumn id="1" xr3:uid="{0AA7AA91-1CCB-4DC8-954F-1AAE2BD3A673}" name="Target (hz)"/>
    <tableColumn id="2" xr3:uid="{97E44500-9ADE-4C8A-B614-49207E4B5663}" name="Target Amplitude (m)"/>
    <tableColumn id="3" xr3:uid="{3969B541-A56F-4C36-A894-013F04BB74B4}" name="Actual Amplitude (m)"/>
    <tableColumn id="4" xr3:uid="{5FD59C7D-5B08-40BF-8279-3A6A05CB9583}" name="actual (rad/s)"/>
    <tableColumn id="5" xr3:uid="{4486A37D-7F5C-4905-BDB5-7C18C4800E70}" name="actual (hz)" dataDxfId="15"/>
    <tableColumn id="6" xr3:uid="{06AAF6D4-CB7A-48F0-9792-D345E8980B34}" name="error (hz)" dataDxfId="14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CC191D7-44D4-4DA3-A641-0CFE5A184AA7}" name="Table4" displayName="Table4" ref="B34:I36" totalsRowShown="0">
  <autoFilter ref="B34:I36" xr:uid="{0CC191D7-44D4-4DA3-A641-0CFE5A184AA7}"/>
  <tableColumns count="8">
    <tableColumn id="1" xr3:uid="{4D871C55-F67F-41C4-9D62-18CC0C064544}" name="Load"/>
    <tableColumn id="2" xr3:uid="{0BE62B10-45E7-46E2-ACF9-BBC46632351C}" name="Target (hz)"/>
    <tableColumn id="3" xr3:uid="{8AA7D8D7-A315-4D4B-86CC-A35BF6191BAF}" name="Target Amplitude (m)"/>
    <tableColumn id="4" xr3:uid="{769DDF7C-EEB5-4997-9DDB-E6CFC52112A7}" name="Actual Amplitude (m)"/>
    <tableColumn id="5" xr3:uid="{D5D6BCFD-E643-4766-B92D-F7714971794E}" name="actual (rad/s)"/>
    <tableColumn id="6" xr3:uid="{B3C22A22-E900-4DA7-9E21-8EDA3D479DBE}" name="actual (hz)" dataDxfId="13">
      <calculatedColumnFormula>0.159155*F35</calculatedColumnFormula>
    </tableColumn>
    <tableColumn id="7" xr3:uid="{AF62638C-0399-41FA-B11C-0B57267C7701}" name="error (hz)" dataDxfId="12">
      <calculatedColumnFormula>G35-C35</calculatedColumnFormula>
    </tableColumn>
    <tableColumn id="8" xr3:uid="{80F63C38-9CA9-4511-AB15-AD41AC46C772}" name="Notes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5A4718-BA54-4E74-BCDD-B22AD0F533A0}" name="Table5" displayName="Table5" ref="B39:H53" totalsRowShown="0">
  <autoFilter ref="B39:H53" xr:uid="{7E5A4718-BA54-4E74-BCDD-B22AD0F533A0}"/>
  <tableColumns count="7">
    <tableColumn id="1" xr3:uid="{127F159E-2C32-44FD-B3E8-815D32012037}" name="Target (hz)"/>
    <tableColumn id="2" xr3:uid="{DDA534BC-63BB-43D3-B154-CD6BF4DD7950}" name="Target Amplitude (m)"/>
    <tableColumn id="3" xr3:uid="{DD725F8D-98D5-4C47-857F-68B992CDE9C5}" name="Actual Amplitude (m)"/>
    <tableColumn id="4" xr3:uid="{FC93A5D6-AC38-4317-B918-4E93BEAD0BDA}" name="actual (rad/s)"/>
    <tableColumn id="5" xr3:uid="{CFA33EA2-C86B-4310-B65A-62FB967E208D}" name="actual (hz)" dataDxfId="11">
      <calculatedColumnFormula>0.159155*E40</calculatedColumnFormula>
    </tableColumn>
    <tableColumn id="6" xr3:uid="{C166DF7C-5F9B-4C6A-AE65-836FA8FD9F83}" name="error (hz)" dataDxfId="10">
      <calculatedColumnFormula>F40-B40</calculatedColumnFormula>
    </tableColumn>
    <tableColumn id="7" xr3:uid="{D389E838-A9C0-4A33-ABFE-49714BA13D97}" name="Not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B0EEA-6340-432B-9C7A-4436B1195294}">
  <dimension ref="A1:AA252"/>
  <sheetViews>
    <sheetView tabSelected="1" topLeftCell="A226" zoomScale="70" zoomScaleNormal="70" workbookViewId="0">
      <selection activeCell="D258" sqref="D258"/>
    </sheetView>
  </sheetViews>
  <sheetFormatPr defaultColWidth="8.796875" defaultRowHeight="14.25" x14ac:dyDescent="0.45"/>
  <cols>
    <col min="1" max="1" width="13" customWidth="1"/>
    <col min="2" max="2" width="11.06640625" customWidth="1"/>
    <col min="3" max="3" width="19.53125" customWidth="1"/>
    <col min="4" max="5" width="19.33203125" customWidth="1"/>
    <col min="6" max="6" width="13.265625" customWidth="1"/>
    <col min="7" max="7" width="13" customWidth="1"/>
    <col min="8" max="8" width="9.796875" customWidth="1"/>
    <col min="9" max="9" width="23.33203125" customWidth="1"/>
    <col min="10" max="10" width="25.265625" customWidth="1"/>
    <col min="11" max="11" width="13.1328125" bestFit="1" customWidth="1"/>
    <col min="12" max="12" width="7.796875" customWidth="1"/>
    <col min="13" max="13" width="11.796875" customWidth="1"/>
    <col min="14" max="14" width="13.6640625" customWidth="1"/>
    <col min="16" max="16" width="8.796875" style="5"/>
    <col min="17" max="17" width="11.6640625" bestFit="1" customWidth="1"/>
    <col min="19" max="19" width="9.6640625" bestFit="1" customWidth="1"/>
  </cols>
  <sheetData>
    <row r="1" spans="1:10" x14ac:dyDescent="0.45">
      <c r="A1" s="58" t="s">
        <v>62</v>
      </c>
    </row>
    <row r="2" spans="1:10" x14ac:dyDescent="0.45">
      <c r="B2" t="s">
        <v>31</v>
      </c>
      <c r="C2" t="s">
        <v>29</v>
      </c>
      <c r="D2" t="s">
        <v>1</v>
      </c>
      <c r="E2" t="s">
        <v>2</v>
      </c>
      <c r="F2" t="s">
        <v>30</v>
      </c>
      <c r="G2" t="s">
        <v>4</v>
      </c>
      <c r="H2" t="s">
        <v>5</v>
      </c>
      <c r="I2" t="s">
        <v>17</v>
      </c>
      <c r="J2" t="s">
        <v>18</v>
      </c>
    </row>
    <row r="3" spans="1:10" x14ac:dyDescent="0.45">
      <c r="B3">
        <v>1</v>
      </c>
      <c r="C3">
        <f>B3*1.118</f>
        <v>1.1180000000000001</v>
      </c>
      <c r="D3">
        <v>0.01</v>
      </c>
      <c r="E3">
        <v>7.43</v>
      </c>
      <c r="F3" s="1">
        <v>1.1825212270000001</v>
      </c>
      <c r="G3" s="1">
        <f>F3-B3</f>
        <v>0.18252122700000006</v>
      </c>
      <c r="H3" s="2">
        <f>G3/B3</f>
        <v>0.18252122700000006</v>
      </c>
      <c r="I3" s="1">
        <f>F3-C3</f>
        <v>6.4521226999999959E-2</v>
      </c>
      <c r="J3" s="2">
        <f>I3/C3</f>
        <v>5.771129427549191E-2</v>
      </c>
    </row>
    <row r="4" spans="1:10" x14ac:dyDescent="0.45">
      <c r="B4">
        <v>2</v>
      </c>
      <c r="C4">
        <f t="shared" ref="C4:C16" si="0">B4*1.118</f>
        <v>2.2360000000000002</v>
      </c>
      <c r="D4">
        <v>0.01</v>
      </c>
      <c r="E4">
        <v>14.7</v>
      </c>
      <c r="F4" s="1">
        <v>2.339577663</v>
      </c>
      <c r="G4" s="1">
        <f>F4-B4</f>
        <v>0.33957766300000003</v>
      </c>
      <c r="H4" s="2">
        <f>G4/B4</f>
        <v>0.16978883150000001</v>
      </c>
      <c r="I4" s="1">
        <f>F4-C4</f>
        <v>0.10357766299999982</v>
      </c>
      <c r="J4" s="2">
        <f>I4/C4</f>
        <v>4.632274731663677E-2</v>
      </c>
    </row>
    <row r="5" spans="1:10" x14ac:dyDescent="0.45">
      <c r="B5">
        <v>3</v>
      </c>
      <c r="C5">
        <f t="shared" si="0"/>
        <v>3.3540000000000001</v>
      </c>
      <c r="D5">
        <v>0.01</v>
      </c>
      <c r="E5">
        <v>21.9</v>
      </c>
      <c r="F5" s="1">
        <v>3.4854932540000001</v>
      </c>
      <c r="G5" s="1">
        <f>F5-B5</f>
        <v>0.4854932540000001</v>
      </c>
      <c r="H5" s="2">
        <f>G5/B5</f>
        <v>0.16183108466666671</v>
      </c>
      <c r="I5" s="1">
        <f>F5-C5</f>
        <v>0.131493254</v>
      </c>
      <c r="J5" s="2">
        <f>I5/C5</f>
        <v>3.9204905784138343E-2</v>
      </c>
    </row>
    <row r="6" spans="1:10" x14ac:dyDescent="0.45">
      <c r="B6">
        <v>4</v>
      </c>
      <c r="C6">
        <f t="shared" si="0"/>
        <v>4.4720000000000004</v>
      </c>
      <c r="D6">
        <v>0.01</v>
      </c>
      <c r="E6">
        <v>29</v>
      </c>
      <c r="F6" s="1">
        <v>4.6154933500000004</v>
      </c>
      <c r="G6" s="1">
        <f>F6-B6</f>
        <v>0.61549335000000038</v>
      </c>
      <c r="H6" s="2">
        <f>G6/B6</f>
        <v>0.1538733375000001</v>
      </c>
      <c r="I6" s="1">
        <f>F6-C6</f>
        <v>0.14349334999999996</v>
      </c>
      <c r="J6" s="2">
        <f>I6/C6</f>
        <v>3.2087063953488364E-2</v>
      </c>
    </row>
    <row r="7" spans="1:10" x14ac:dyDescent="0.45">
      <c r="B7">
        <v>5</v>
      </c>
      <c r="C7">
        <f t="shared" si="0"/>
        <v>5.5900000000000007</v>
      </c>
      <c r="D7">
        <v>0.01</v>
      </c>
      <c r="E7">
        <v>36</v>
      </c>
      <c r="F7" s="1">
        <v>5.7295779509999996</v>
      </c>
      <c r="G7" s="1">
        <f>F7-B7</f>
        <v>0.72957795099999956</v>
      </c>
      <c r="H7" s="2">
        <f>G7/B7</f>
        <v>0.14591559019999992</v>
      </c>
      <c r="I7" s="1">
        <f>F7-C7</f>
        <v>0.13957795099999881</v>
      </c>
      <c r="J7" s="2">
        <f>I7/C7</f>
        <v>2.4969222003577603E-2</v>
      </c>
    </row>
    <row r="8" spans="1:10" x14ac:dyDescent="0.45">
      <c r="B8">
        <v>6</v>
      </c>
      <c r="C8">
        <f t="shared" si="0"/>
        <v>6.7080000000000002</v>
      </c>
      <c r="D8">
        <v>0.01</v>
      </c>
      <c r="E8">
        <v>42.3</v>
      </c>
      <c r="F8" s="1">
        <v>6.7322540929999999</v>
      </c>
      <c r="G8" s="1">
        <f>F8-B8</f>
        <v>0.73225409299999988</v>
      </c>
      <c r="H8" s="2">
        <f>G8/B8</f>
        <v>0.12204234883333331</v>
      </c>
      <c r="I8" s="1">
        <f>F8-C8</f>
        <v>2.4254092999999699E-2</v>
      </c>
      <c r="J8" s="2">
        <f>I8/C8</f>
        <v>3.6156966308884464E-3</v>
      </c>
    </row>
    <row r="9" spans="1:10" x14ac:dyDescent="0.45">
      <c r="B9">
        <v>7</v>
      </c>
      <c r="C9">
        <f t="shared" si="0"/>
        <v>7.8260000000000005</v>
      </c>
      <c r="D9">
        <v>8.0000000000000002E-3</v>
      </c>
      <c r="E9">
        <v>47.3</v>
      </c>
      <c r="F9" s="1">
        <v>7.5280288080000002</v>
      </c>
      <c r="G9" s="1">
        <f>F9-B9</f>
        <v>0.52802880800000018</v>
      </c>
      <c r="H9" s="2">
        <f>G9/B9</f>
        <v>7.5432686857142883E-2</v>
      </c>
      <c r="I9" s="1">
        <f>F9-C9</f>
        <v>-0.29797119200000033</v>
      </c>
      <c r="J9" s="2">
        <f>I9/C9</f>
        <v>-3.8074519805775663E-2</v>
      </c>
    </row>
    <row r="10" spans="1:10" x14ac:dyDescent="0.45">
      <c r="B10">
        <v>8</v>
      </c>
      <c r="C10">
        <f t="shared" si="0"/>
        <v>8.9440000000000008</v>
      </c>
      <c r="D10">
        <v>8.0000000000000002E-3</v>
      </c>
      <c r="E10">
        <v>55.7</v>
      </c>
      <c r="F10" s="1">
        <v>8.86493033</v>
      </c>
      <c r="G10" s="1">
        <f>F10-B10</f>
        <v>0.86493032999999997</v>
      </c>
      <c r="H10" s="2">
        <f>G10/B10</f>
        <v>0.10811629125</v>
      </c>
      <c r="I10" s="1">
        <f>F10-C10</f>
        <v>-7.9069670000000869E-2</v>
      </c>
      <c r="J10" s="2">
        <f>I10/C10</f>
        <v>-8.8405266100179854E-3</v>
      </c>
    </row>
    <row r="11" spans="1:10" x14ac:dyDescent="0.45">
      <c r="B11">
        <v>9</v>
      </c>
      <c r="C11">
        <f t="shared" si="0"/>
        <v>10.062000000000001</v>
      </c>
      <c r="D11">
        <v>8.0000000000000002E-3</v>
      </c>
      <c r="E11">
        <v>60.1</v>
      </c>
      <c r="F11" s="1">
        <v>9.5652120800000002</v>
      </c>
      <c r="G11" s="1">
        <f>F11-B11</f>
        <v>0.56521208000000023</v>
      </c>
      <c r="H11" s="2">
        <f>G11/B11</f>
        <v>6.2801342222222251E-2</v>
      </c>
      <c r="I11" s="1">
        <f>F11-C11</f>
        <v>-0.49678792000000094</v>
      </c>
      <c r="J11" s="2">
        <f>I11/C11</f>
        <v>-4.9372681375472162E-2</v>
      </c>
    </row>
    <row r="12" spans="1:10" x14ac:dyDescent="0.45">
      <c r="B12">
        <v>10</v>
      </c>
      <c r="C12">
        <f t="shared" si="0"/>
        <v>11.180000000000001</v>
      </c>
      <c r="D12">
        <v>8.0000000000000002E-3</v>
      </c>
      <c r="E12">
        <v>63.6</v>
      </c>
      <c r="F12" s="1">
        <v>10.122254379999999</v>
      </c>
      <c r="G12" s="1">
        <f>F12-B12</f>
        <v>0.12225437999999933</v>
      </c>
      <c r="H12" s="2">
        <f>G12/B12</f>
        <v>1.2225437999999932E-2</v>
      </c>
      <c r="I12" s="1">
        <f>F12-C12</f>
        <v>-1.0577456200000022</v>
      </c>
      <c r="J12" s="2">
        <f>I12/C12</f>
        <v>-9.4610520572450979E-2</v>
      </c>
    </row>
    <row r="13" spans="1:10" x14ac:dyDescent="0.45">
      <c r="B13">
        <v>11</v>
      </c>
      <c r="C13">
        <f t="shared" si="0"/>
        <v>12.298000000000002</v>
      </c>
      <c r="D13">
        <v>8.0000000000000002E-3</v>
      </c>
      <c r="E13">
        <v>66.5</v>
      </c>
      <c r="F13" s="1">
        <v>10.583803720000001</v>
      </c>
      <c r="G13" s="1">
        <f>F13-B13</f>
        <v>-0.41619627999999942</v>
      </c>
      <c r="H13" s="2">
        <f>G13/B13</f>
        <v>-3.7836025454545404E-2</v>
      </c>
      <c r="I13" s="1">
        <f>F13-C13</f>
        <v>-1.7141962800000012</v>
      </c>
      <c r="J13" s="2">
        <f>I13/C13</f>
        <v>-0.13938821597007653</v>
      </c>
    </row>
    <row r="14" spans="1:10" x14ac:dyDescent="0.45">
      <c r="B14">
        <v>12</v>
      </c>
      <c r="C14">
        <f t="shared" si="0"/>
        <v>13.416</v>
      </c>
      <c r="D14">
        <v>8.0000000000000002E-3</v>
      </c>
      <c r="E14">
        <v>68.900000000000006</v>
      </c>
      <c r="F14" s="1">
        <v>10.965775580000001</v>
      </c>
      <c r="G14" s="1">
        <f>F14-B14</f>
        <v>-1.0342244199999993</v>
      </c>
      <c r="H14" s="2">
        <f>G14/B14</f>
        <v>-8.6185368333333276E-2</v>
      </c>
      <c r="I14" s="1">
        <f>F14-C14</f>
        <v>-2.4502244199999996</v>
      </c>
      <c r="J14" s="2">
        <f>I14/C14</f>
        <v>-0.18263449761478828</v>
      </c>
    </row>
    <row r="15" spans="1:10" x14ac:dyDescent="0.45">
      <c r="B15">
        <v>15</v>
      </c>
      <c r="C15">
        <f t="shared" si="0"/>
        <v>16.770000000000003</v>
      </c>
      <c r="D15">
        <v>1E-3</v>
      </c>
      <c r="E15">
        <v>129</v>
      </c>
      <c r="F15" s="1">
        <v>20.530987660000001</v>
      </c>
      <c r="G15" s="1">
        <f>F15-B15</f>
        <v>5.530987660000001</v>
      </c>
      <c r="H15" s="2">
        <f>G15/B15</f>
        <v>0.36873251066666674</v>
      </c>
      <c r="I15" s="1">
        <f>F15-C15</f>
        <v>3.7609876599999978</v>
      </c>
      <c r="J15" s="2">
        <f>I15/C15</f>
        <v>0.22426879308288594</v>
      </c>
    </row>
    <row r="16" spans="1:10" x14ac:dyDescent="0.45">
      <c r="B16">
        <v>15</v>
      </c>
      <c r="C16">
        <f t="shared" si="0"/>
        <v>16.770000000000003</v>
      </c>
      <c r="D16">
        <v>5.0000000000000001E-3</v>
      </c>
      <c r="E16">
        <v>99.5</v>
      </c>
      <c r="F16" s="1">
        <v>15.835916839999999</v>
      </c>
      <c r="G16" s="1">
        <f>F16-B16</f>
        <v>0.83591683999999944</v>
      </c>
      <c r="H16" s="2">
        <f>G16/B16</f>
        <v>5.5727789333333298E-2</v>
      </c>
      <c r="I16" s="1">
        <f>F16-C16</f>
        <v>-0.93408316000000369</v>
      </c>
      <c r="J16" s="2">
        <f>I16/C16</f>
        <v>-5.5699651759093832E-2</v>
      </c>
    </row>
    <row r="17" spans="1:7" x14ac:dyDescent="0.45">
      <c r="A17" s="58" t="s">
        <v>6</v>
      </c>
      <c r="B17" s="3" t="s">
        <v>58</v>
      </c>
    </row>
    <row r="18" spans="1:7" x14ac:dyDescent="0.45">
      <c r="B18" t="s">
        <v>0</v>
      </c>
      <c r="C18" t="s">
        <v>7</v>
      </c>
      <c r="D18" t="s">
        <v>8</v>
      </c>
      <c r="E18" t="s">
        <v>2</v>
      </c>
      <c r="F18" t="s">
        <v>3</v>
      </c>
      <c r="G18" t="s">
        <v>4</v>
      </c>
    </row>
    <row r="19" spans="1:7" x14ac:dyDescent="0.45">
      <c r="B19">
        <v>1</v>
      </c>
      <c r="C19">
        <v>0.01</v>
      </c>
      <c r="D19">
        <v>8.4100000000000008E-3</v>
      </c>
      <c r="E19">
        <v>7.42</v>
      </c>
      <c r="F19" s="1">
        <f>0.159155*E19</f>
        <v>1.1809300999999999</v>
      </c>
      <c r="G19" s="1">
        <f>F19-B19</f>
        <v>0.18093009999999987</v>
      </c>
    </row>
    <row r="20" spans="1:7" x14ac:dyDescent="0.45">
      <c r="B20">
        <v>2</v>
      </c>
      <c r="C20">
        <v>0.01</v>
      </c>
      <c r="D20">
        <v>8.2400000000000008E-3</v>
      </c>
      <c r="E20">
        <v>14.7</v>
      </c>
      <c r="F20" s="1">
        <f>0.159155*E20</f>
        <v>2.3395784999999996</v>
      </c>
      <c r="G20" s="1">
        <f>F20-B20</f>
        <v>0.33957849999999956</v>
      </c>
    </row>
    <row r="21" spans="1:7" x14ac:dyDescent="0.45">
      <c r="B21">
        <v>3</v>
      </c>
      <c r="C21">
        <v>0.01</v>
      </c>
      <c r="D21">
        <v>8.1700000000000002E-3</v>
      </c>
      <c r="E21">
        <v>21.9</v>
      </c>
      <c r="F21" s="1">
        <f>0.159155*E21</f>
        <v>3.4854944999999997</v>
      </c>
      <c r="G21" s="1">
        <f>F21-B21</f>
        <v>0.48549449999999972</v>
      </c>
    </row>
    <row r="22" spans="1:7" x14ac:dyDescent="0.45">
      <c r="B22">
        <v>4</v>
      </c>
      <c r="C22">
        <v>0.01</v>
      </c>
      <c r="D22">
        <v>8.0099999999999998E-3</v>
      </c>
      <c r="E22">
        <v>29</v>
      </c>
      <c r="F22" s="1">
        <f>0.159155*E22</f>
        <v>4.6154950000000001</v>
      </c>
      <c r="G22" s="1">
        <f>F22-B22</f>
        <v>0.61549500000000013</v>
      </c>
    </row>
    <row r="23" spans="1:7" x14ac:dyDescent="0.45">
      <c r="B23">
        <v>5</v>
      </c>
      <c r="C23">
        <v>0.01</v>
      </c>
      <c r="D23">
        <v>7.9699999999999997E-3</v>
      </c>
      <c r="E23">
        <v>36</v>
      </c>
      <c r="F23" s="1">
        <f>0.159155*E23</f>
        <v>5.7295799999999995</v>
      </c>
      <c r="G23" s="1">
        <f>F23-B23</f>
        <v>0.72957999999999945</v>
      </c>
    </row>
    <row r="24" spans="1:7" x14ac:dyDescent="0.45">
      <c r="B24">
        <v>6</v>
      </c>
      <c r="C24">
        <v>0.01</v>
      </c>
      <c r="D24">
        <v>8.1399999999999997E-3</v>
      </c>
      <c r="E24">
        <v>42.3</v>
      </c>
      <c r="F24" s="1">
        <f>0.159155*E24</f>
        <v>6.7322564999999992</v>
      </c>
      <c r="G24" s="1">
        <f>F24-B24</f>
        <v>0.7322564999999992</v>
      </c>
    </row>
    <row r="25" spans="1:7" x14ac:dyDescent="0.45">
      <c r="B25">
        <v>7</v>
      </c>
      <c r="C25">
        <v>8.0000000000000002E-3</v>
      </c>
      <c r="D25">
        <v>7.62E-3</v>
      </c>
      <c r="E25">
        <v>50.3</v>
      </c>
      <c r="F25" s="1">
        <f>0.159155*E25</f>
        <v>8.0054964999999996</v>
      </c>
      <c r="G25" s="1">
        <f>F25-B25</f>
        <v>1.0054964999999996</v>
      </c>
    </row>
    <row r="26" spans="1:7" x14ac:dyDescent="0.45">
      <c r="B26">
        <v>8</v>
      </c>
      <c r="C26">
        <v>8.0000000000000002E-3</v>
      </c>
      <c r="D26">
        <v>7.2700000000000004E-3</v>
      </c>
      <c r="E26">
        <v>55.7</v>
      </c>
      <c r="F26" s="1">
        <f>0.159155*E26</f>
        <v>8.8649334999999994</v>
      </c>
      <c r="G26" s="1">
        <f>F26-B26</f>
        <v>0.86493349999999936</v>
      </c>
    </row>
    <row r="27" spans="1:7" x14ac:dyDescent="0.45">
      <c r="B27">
        <v>9</v>
      </c>
      <c r="C27">
        <v>8.0000000000000002E-3</v>
      </c>
      <c r="F27" s="1"/>
      <c r="G27" s="1"/>
    </row>
    <row r="28" spans="1:7" x14ac:dyDescent="0.45">
      <c r="B28">
        <v>10</v>
      </c>
      <c r="C28">
        <v>8.0000000000000002E-3</v>
      </c>
      <c r="F28" s="1"/>
      <c r="G28" s="1"/>
    </row>
    <row r="29" spans="1:7" x14ac:dyDescent="0.45">
      <c r="B29">
        <v>11</v>
      </c>
      <c r="C29">
        <v>8.0000000000000002E-3</v>
      </c>
      <c r="F29" s="1"/>
      <c r="G29" s="1"/>
    </row>
    <row r="30" spans="1:7" x14ac:dyDescent="0.45">
      <c r="B30">
        <v>12</v>
      </c>
      <c r="C30">
        <v>8.0000000000000002E-3</v>
      </c>
      <c r="F30" s="1"/>
      <c r="G30" s="1"/>
    </row>
    <row r="31" spans="1:7" x14ac:dyDescent="0.45">
      <c r="B31">
        <v>15</v>
      </c>
      <c r="C31">
        <v>1E-3</v>
      </c>
      <c r="F31" s="1"/>
      <c r="G31" s="1"/>
    </row>
    <row r="32" spans="1:7" x14ac:dyDescent="0.45">
      <c r="B32">
        <v>15</v>
      </c>
      <c r="C32">
        <v>5.0000000000000001E-3</v>
      </c>
      <c r="D32">
        <v>5.0099999999999997E-3</v>
      </c>
      <c r="E32">
        <v>99.4</v>
      </c>
      <c r="F32" s="1">
        <f>0.159155*E32</f>
        <v>15.820007</v>
      </c>
      <c r="G32" s="1">
        <f>F32-B32</f>
        <v>0.82000700000000037</v>
      </c>
    </row>
    <row r="33" spans="1:9" x14ac:dyDescent="0.45">
      <c r="A33" s="58" t="s">
        <v>60</v>
      </c>
      <c r="B33" s="3" t="s">
        <v>58</v>
      </c>
    </row>
    <row r="34" spans="1:9" x14ac:dyDescent="0.45">
      <c r="B34" t="s">
        <v>63</v>
      </c>
      <c r="C34" t="s">
        <v>0</v>
      </c>
      <c r="D34" t="s">
        <v>7</v>
      </c>
      <c r="E34" t="s">
        <v>8</v>
      </c>
      <c r="F34" t="s">
        <v>2</v>
      </c>
      <c r="G34" t="s">
        <v>3</v>
      </c>
      <c r="H34" t="s">
        <v>4</v>
      </c>
      <c r="I34" t="s">
        <v>32</v>
      </c>
    </row>
    <row r="35" spans="1:9" x14ac:dyDescent="0.45">
      <c r="B35">
        <v>616</v>
      </c>
      <c r="C35">
        <v>6</v>
      </c>
      <c r="D35">
        <v>0.01</v>
      </c>
      <c r="E35">
        <v>9.3699999999999999E-3</v>
      </c>
      <c r="F35">
        <v>42.3</v>
      </c>
      <c r="G35" s="1">
        <f>0.159155*F35</f>
        <v>6.7322564999999992</v>
      </c>
      <c r="H35" s="1">
        <f>G35-C35</f>
        <v>0.7322564999999992</v>
      </c>
    </row>
    <row r="36" spans="1:9" x14ac:dyDescent="0.45">
      <c r="B36">
        <v>892</v>
      </c>
      <c r="C36">
        <v>6</v>
      </c>
      <c r="D36">
        <v>0.01</v>
      </c>
      <c r="E36">
        <v>1.18E-2</v>
      </c>
      <c r="F36">
        <v>42.3</v>
      </c>
      <c r="G36" s="1">
        <f>0.159155*F36</f>
        <v>6.7322564999999992</v>
      </c>
      <c r="H36" s="1">
        <f>G36-C36</f>
        <v>0.7322564999999992</v>
      </c>
      <c r="I36" t="s">
        <v>61</v>
      </c>
    </row>
    <row r="38" spans="1:9" x14ac:dyDescent="0.45">
      <c r="A38" s="58" t="s">
        <v>14</v>
      </c>
      <c r="B38" s="4" t="s">
        <v>59</v>
      </c>
      <c r="C38" t="s">
        <v>69</v>
      </c>
    </row>
    <row r="39" spans="1:9" x14ac:dyDescent="0.45">
      <c r="B39" t="s">
        <v>0</v>
      </c>
      <c r="C39" t="s">
        <v>7</v>
      </c>
      <c r="D39" t="s">
        <v>8</v>
      </c>
      <c r="E39" t="s">
        <v>2</v>
      </c>
      <c r="F39" t="s">
        <v>3</v>
      </c>
      <c r="G39" t="s">
        <v>4</v>
      </c>
      <c r="H39" t="s">
        <v>32</v>
      </c>
    </row>
    <row r="40" spans="1:9" x14ac:dyDescent="0.45">
      <c r="B40">
        <v>1</v>
      </c>
      <c r="C40">
        <v>0.01</v>
      </c>
      <c r="D40">
        <v>8.9800000000000001E-3</v>
      </c>
      <c r="E40">
        <v>7.42</v>
      </c>
      <c r="F40" s="1">
        <f>0.159155*E40</f>
        <v>1.1809300999999999</v>
      </c>
      <c r="G40" s="1">
        <f>F40-B40</f>
        <v>0.18093009999999987</v>
      </c>
    </row>
    <row r="41" spans="1:9" x14ac:dyDescent="0.45">
      <c r="B41">
        <v>2</v>
      </c>
      <c r="C41">
        <v>0.01</v>
      </c>
      <c r="D41">
        <v>9.0600000000000003E-3</v>
      </c>
      <c r="E41">
        <v>14.7</v>
      </c>
      <c r="F41" s="1">
        <f>0.159155*E41</f>
        <v>2.3395784999999996</v>
      </c>
      <c r="G41" s="1">
        <f>F41-B41</f>
        <v>0.33957849999999956</v>
      </c>
    </row>
    <row r="42" spans="1:9" x14ac:dyDescent="0.45">
      <c r="B42">
        <v>3</v>
      </c>
      <c r="C42">
        <v>0.01</v>
      </c>
      <c r="D42">
        <v>9.0699999999999999E-3</v>
      </c>
      <c r="E42">
        <v>21.9</v>
      </c>
      <c r="F42" s="1">
        <f>0.159155*E42</f>
        <v>3.4854944999999997</v>
      </c>
      <c r="G42" s="1">
        <f>F42-B42</f>
        <v>0.48549449999999972</v>
      </c>
    </row>
    <row r="43" spans="1:9" x14ac:dyDescent="0.45">
      <c r="B43">
        <v>4</v>
      </c>
      <c r="C43">
        <v>0.01</v>
      </c>
      <c r="D43">
        <v>9.1900000000000003E-3</v>
      </c>
      <c r="E43">
        <v>29</v>
      </c>
      <c r="F43" s="1">
        <f>0.159155*E43</f>
        <v>4.6154950000000001</v>
      </c>
      <c r="G43" s="1">
        <f>F43-B43</f>
        <v>0.61549500000000013</v>
      </c>
    </row>
    <row r="44" spans="1:9" x14ac:dyDescent="0.45">
      <c r="B44">
        <v>5</v>
      </c>
      <c r="C44">
        <v>0.01</v>
      </c>
      <c r="D44">
        <v>9.1599999999999997E-3</v>
      </c>
      <c r="E44">
        <v>36</v>
      </c>
      <c r="F44" s="1">
        <f>0.159155*E44</f>
        <v>5.7295799999999995</v>
      </c>
      <c r="G44" s="1">
        <f>F44-B44</f>
        <v>0.72957999999999945</v>
      </c>
    </row>
    <row r="45" spans="1:9" x14ac:dyDescent="0.45">
      <c r="B45">
        <v>6</v>
      </c>
      <c r="C45">
        <v>0.01</v>
      </c>
      <c r="D45">
        <v>9.2099999999999994E-3</v>
      </c>
      <c r="E45">
        <v>42.3</v>
      </c>
      <c r="F45" s="1">
        <f>0.159155*E45</f>
        <v>6.7322564999999992</v>
      </c>
      <c r="G45" s="1">
        <f>F45-B45</f>
        <v>0.7322564999999992</v>
      </c>
    </row>
    <row r="46" spans="1:9" x14ac:dyDescent="0.45">
      <c r="B46">
        <v>7</v>
      </c>
      <c r="C46">
        <v>8.0000000000000002E-3</v>
      </c>
      <c r="D46">
        <v>7.4400000000000004E-3</v>
      </c>
      <c r="E46">
        <v>50.3</v>
      </c>
      <c r="F46" s="1">
        <f>0.159155*E46</f>
        <v>8.0054964999999996</v>
      </c>
      <c r="G46" s="1">
        <f>F46-B46</f>
        <v>1.0054964999999996</v>
      </c>
    </row>
    <row r="47" spans="1:9" x14ac:dyDescent="0.45">
      <c r="B47">
        <v>8</v>
      </c>
      <c r="C47">
        <v>8.0000000000000002E-3</v>
      </c>
      <c r="D47">
        <v>7.4000000000000003E-3</v>
      </c>
      <c r="E47">
        <v>55.7</v>
      </c>
      <c r="F47" s="1">
        <f>0.159155*E47</f>
        <v>8.8649334999999994</v>
      </c>
      <c r="G47" s="1">
        <f>F47-B47</f>
        <v>0.86493349999999936</v>
      </c>
    </row>
    <row r="48" spans="1:9" x14ac:dyDescent="0.45">
      <c r="B48">
        <v>9</v>
      </c>
      <c r="C48">
        <v>8.0000000000000002E-3</v>
      </c>
      <c r="D48">
        <v>7.3600000000000002E-3</v>
      </c>
      <c r="E48">
        <v>60.1</v>
      </c>
      <c r="F48" s="1">
        <f>0.159155*E48</f>
        <v>9.565215499999999</v>
      </c>
      <c r="G48" s="1">
        <f>F48-B48</f>
        <v>0.56521549999999898</v>
      </c>
    </row>
    <row r="49" spans="1:8" x14ac:dyDescent="0.45">
      <c r="B49">
        <v>10</v>
      </c>
      <c r="C49">
        <v>8.0000000000000002E-3</v>
      </c>
      <c r="D49">
        <v>7.3099999999999997E-3</v>
      </c>
      <c r="E49">
        <v>63.6</v>
      </c>
      <c r="F49" s="1">
        <f>0.159155*E49</f>
        <v>10.122258</v>
      </c>
      <c r="G49" s="1">
        <f>F49-B49</f>
        <v>0.12225800000000042</v>
      </c>
    </row>
    <row r="50" spans="1:8" x14ac:dyDescent="0.45">
      <c r="B50">
        <v>11</v>
      </c>
      <c r="C50">
        <v>8.0000000000000002E-3</v>
      </c>
      <c r="D50">
        <v>6.7400000000000003E-3</v>
      </c>
      <c r="E50">
        <v>66.5</v>
      </c>
      <c r="F50" s="1">
        <f>0.159155*E50</f>
        <v>10.583807499999999</v>
      </c>
      <c r="G50" s="1">
        <f>F50-B50</f>
        <v>-0.41619250000000108</v>
      </c>
      <c r="H50" t="s">
        <v>15</v>
      </c>
    </row>
    <row r="51" spans="1:8" x14ac:dyDescent="0.45">
      <c r="B51">
        <v>12</v>
      </c>
      <c r="C51">
        <v>8.0000000000000002E-3</v>
      </c>
      <c r="D51">
        <v>6.8199999999999997E-3</v>
      </c>
      <c r="E51">
        <v>68.8</v>
      </c>
      <c r="F51" s="1">
        <f>0.159155*E51</f>
        <v>10.949863999999998</v>
      </c>
      <c r="G51" s="1">
        <f>F51-B51</f>
        <v>-1.050136000000002</v>
      </c>
    </row>
    <row r="52" spans="1:8" x14ac:dyDescent="0.45">
      <c r="B52">
        <v>15</v>
      </c>
      <c r="C52">
        <v>1E-3</v>
      </c>
      <c r="D52">
        <v>2.97E-3</v>
      </c>
      <c r="E52">
        <v>129</v>
      </c>
      <c r="F52" s="1">
        <f>0.159155*E52</f>
        <v>20.530994999999997</v>
      </c>
      <c r="G52" s="1">
        <f>F52-B52</f>
        <v>5.5309949999999972</v>
      </c>
    </row>
    <row r="53" spans="1:8" x14ac:dyDescent="0.45">
      <c r="B53">
        <v>15</v>
      </c>
      <c r="C53">
        <v>5.0000000000000001E-3</v>
      </c>
      <c r="D53">
        <v>5.5799999999999999E-3</v>
      </c>
      <c r="E53">
        <v>99.5</v>
      </c>
      <c r="F53" s="1">
        <f>0.159155*E53</f>
        <v>15.835922499999999</v>
      </c>
      <c r="G53" s="1">
        <f>F53-B53</f>
        <v>0.83592249999999879</v>
      </c>
    </row>
    <row r="54" spans="1:8" x14ac:dyDescent="0.45">
      <c r="B54" s="4"/>
    </row>
    <row r="55" spans="1:8" hidden="1" x14ac:dyDescent="0.45">
      <c r="A55" t="s">
        <v>14</v>
      </c>
    </row>
    <row r="56" spans="1:8" hidden="1" x14ac:dyDescent="0.45"/>
    <row r="57" spans="1:8" hidden="1" x14ac:dyDescent="0.45"/>
    <row r="58" spans="1:8" hidden="1" x14ac:dyDescent="0.45"/>
    <row r="59" spans="1:8" hidden="1" x14ac:dyDescent="0.45"/>
    <row r="60" spans="1:8" hidden="1" x14ac:dyDescent="0.45"/>
    <row r="61" spans="1:8" hidden="1" x14ac:dyDescent="0.45"/>
    <row r="62" spans="1:8" hidden="1" x14ac:dyDescent="0.45"/>
    <row r="63" spans="1:8" hidden="1" x14ac:dyDescent="0.45"/>
    <row r="64" spans="1:8" hidden="1" x14ac:dyDescent="0.45"/>
    <row r="65" spans="1:2" hidden="1" x14ac:dyDescent="0.45"/>
    <row r="66" spans="1:2" hidden="1" x14ac:dyDescent="0.45"/>
    <row r="67" spans="1:2" hidden="1" x14ac:dyDescent="0.45"/>
    <row r="68" spans="1:2" hidden="1" x14ac:dyDescent="0.45"/>
    <row r="69" spans="1:2" hidden="1" x14ac:dyDescent="0.45"/>
    <row r="70" spans="1:2" hidden="1" x14ac:dyDescent="0.45"/>
    <row r="71" spans="1:2" hidden="1" x14ac:dyDescent="0.45">
      <c r="A71" t="s">
        <v>0</v>
      </c>
      <c r="B71" t="s">
        <v>3</v>
      </c>
    </row>
    <row r="72" spans="1:2" hidden="1" x14ac:dyDescent="0.45">
      <c r="A72">
        <v>1</v>
      </c>
      <c r="B72">
        <v>1.1825212270000001</v>
      </c>
    </row>
    <row r="73" spans="1:2" hidden="1" x14ac:dyDescent="0.45">
      <c r="A73">
        <v>2</v>
      </c>
      <c r="B73">
        <v>2.339577663</v>
      </c>
    </row>
    <row r="74" spans="1:2" hidden="1" x14ac:dyDescent="0.45">
      <c r="A74">
        <v>3</v>
      </c>
      <c r="B74">
        <v>3.4854932540000001</v>
      </c>
    </row>
    <row r="75" spans="1:2" hidden="1" x14ac:dyDescent="0.45">
      <c r="A75">
        <v>4</v>
      </c>
      <c r="B75">
        <v>4.6154933500000004</v>
      </c>
    </row>
    <row r="76" spans="1:2" hidden="1" x14ac:dyDescent="0.45">
      <c r="A76">
        <v>5</v>
      </c>
      <c r="B76">
        <v>5.7295779509999996</v>
      </c>
    </row>
    <row r="77" spans="1:2" hidden="1" x14ac:dyDescent="0.45">
      <c r="A77">
        <v>6</v>
      </c>
      <c r="B77">
        <v>6.7322540929999999</v>
      </c>
    </row>
    <row r="78" spans="1:2" hidden="1" x14ac:dyDescent="0.45">
      <c r="A78">
        <v>7</v>
      </c>
      <c r="B78">
        <v>7.5280288080000002</v>
      </c>
    </row>
    <row r="79" spans="1:2" hidden="1" x14ac:dyDescent="0.45">
      <c r="A79">
        <v>8</v>
      </c>
      <c r="B79">
        <v>8.86493033</v>
      </c>
    </row>
    <row r="80" spans="1:2" hidden="1" x14ac:dyDescent="0.45">
      <c r="A80">
        <v>9</v>
      </c>
      <c r="B80">
        <v>9.5652120800000002</v>
      </c>
    </row>
    <row r="81" spans="1:2" hidden="1" x14ac:dyDescent="0.45">
      <c r="A81">
        <v>10</v>
      </c>
      <c r="B81">
        <v>10.122254379999999</v>
      </c>
    </row>
    <row r="82" spans="1:2" hidden="1" x14ac:dyDescent="0.45">
      <c r="A82">
        <v>11</v>
      </c>
      <c r="B82">
        <v>10.583803720000001</v>
      </c>
    </row>
    <row r="83" spans="1:2" hidden="1" x14ac:dyDescent="0.45">
      <c r="A83">
        <v>12</v>
      </c>
      <c r="B83">
        <v>10.965775580000001</v>
      </c>
    </row>
    <row r="84" spans="1:2" hidden="1" x14ac:dyDescent="0.45">
      <c r="A84">
        <v>15</v>
      </c>
      <c r="B84">
        <v>15.835916839999999</v>
      </c>
    </row>
    <row r="85" spans="1:2" hidden="1" x14ac:dyDescent="0.45"/>
    <row r="86" spans="1:2" hidden="1" x14ac:dyDescent="0.45"/>
    <row r="87" spans="1:2" hidden="1" x14ac:dyDescent="0.45"/>
    <row r="88" spans="1:2" hidden="1" x14ac:dyDescent="0.45"/>
    <row r="89" spans="1:2" hidden="1" x14ac:dyDescent="0.45">
      <c r="A89" t="s">
        <v>9</v>
      </c>
    </row>
    <row r="90" spans="1:2" hidden="1" x14ac:dyDescent="0.45"/>
    <row r="91" spans="1:2" hidden="1" x14ac:dyDescent="0.45">
      <c r="A91" t="s">
        <v>10</v>
      </c>
      <c r="B91">
        <v>551.1</v>
      </c>
    </row>
    <row r="92" spans="1:2" hidden="1" x14ac:dyDescent="0.45">
      <c r="A92" t="s">
        <v>11</v>
      </c>
      <c r="B92">
        <v>340.4</v>
      </c>
    </row>
    <row r="93" spans="1:2" hidden="1" x14ac:dyDescent="0.45"/>
    <row r="94" spans="1:2" hidden="1" x14ac:dyDescent="0.45">
      <c r="A94" t="s">
        <v>12</v>
      </c>
      <c r="B94">
        <f>B91+B92</f>
        <v>891.5</v>
      </c>
    </row>
    <row r="95" spans="1:2" hidden="1" x14ac:dyDescent="0.45"/>
    <row r="96" spans="1:2" hidden="1" x14ac:dyDescent="0.45">
      <c r="A96" t="s">
        <v>13</v>
      </c>
      <c r="B96">
        <f>B91/2+B92</f>
        <v>615.95000000000005</v>
      </c>
    </row>
    <row r="97" spans="1:22" hidden="1" x14ac:dyDescent="0.45"/>
    <row r="99" spans="1:22" x14ac:dyDescent="0.45">
      <c r="A99" t="s">
        <v>67</v>
      </c>
    </row>
    <row r="100" spans="1:22" x14ac:dyDescent="0.45">
      <c r="A100" t="s">
        <v>68</v>
      </c>
    </row>
    <row r="101" spans="1:22" x14ac:dyDescent="0.45">
      <c r="A101" s="60" t="s">
        <v>20</v>
      </c>
      <c r="B101" s="60" t="s">
        <v>0</v>
      </c>
      <c r="C101" s="60" t="s">
        <v>16</v>
      </c>
      <c r="D101" s="60" t="s">
        <v>7</v>
      </c>
      <c r="E101" s="60" t="s">
        <v>8</v>
      </c>
      <c r="F101" s="60" t="s">
        <v>19</v>
      </c>
      <c r="G101" s="61" t="s">
        <v>2</v>
      </c>
      <c r="H101" s="60" t="s">
        <v>21</v>
      </c>
      <c r="I101" s="60" t="s">
        <v>37</v>
      </c>
      <c r="J101" s="60" t="s">
        <v>3</v>
      </c>
      <c r="K101" s="60" t="s">
        <v>4</v>
      </c>
      <c r="L101" s="60" t="s">
        <v>5</v>
      </c>
      <c r="M101" s="60" t="s">
        <v>17</v>
      </c>
      <c r="N101" s="60" t="s">
        <v>18</v>
      </c>
      <c r="O101" s="60" t="s">
        <v>22</v>
      </c>
      <c r="P101" s="62" t="s">
        <v>23</v>
      </c>
      <c r="Q101" s="60" t="s">
        <v>24</v>
      </c>
      <c r="R101" s="60" t="s">
        <v>25</v>
      </c>
      <c r="S101" s="60" t="s">
        <v>26</v>
      </c>
      <c r="T101" s="60" t="s">
        <v>27</v>
      </c>
      <c r="U101" s="60" t="s">
        <v>28</v>
      </c>
      <c r="V101" s="60" t="s">
        <v>32</v>
      </c>
    </row>
    <row r="102" spans="1:22" x14ac:dyDescent="0.45">
      <c r="A102">
        <v>1</v>
      </c>
      <c r="B102">
        <v>1</v>
      </c>
      <c r="C102">
        <f>B102*1.118</f>
        <v>1.1180000000000001</v>
      </c>
      <c r="D102">
        <v>0.01</v>
      </c>
      <c r="E102">
        <v>9.42811E-3</v>
      </c>
      <c r="F102" s="6">
        <v>2.9000000000000002E-6</v>
      </c>
      <c r="G102" s="7">
        <v>7.4194389999999997</v>
      </c>
      <c r="H102" s="6">
        <v>1.5E-5</v>
      </c>
      <c r="I102" s="6"/>
      <c r="J102" s="1">
        <f>0.159155*G102</f>
        <v>1.180840814045</v>
      </c>
      <c r="K102" s="1">
        <f>J102-B102</f>
        <v>0.18084081404499996</v>
      </c>
      <c r="L102" s="2">
        <f t="shared" ref="L102:L119" si="1">K102/B102</f>
        <v>0.18084081404499996</v>
      </c>
      <c r="M102" s="1">
        <f t="shared" ref="M102:M119" si="2">J102-C102</f>
        <v>6.284081404499986E-2</v>
      </c>
      <c r="N102" s="2">
        <f t="shared" ref="N102:N119" si="3">M102/C102</f>
        <v>5.6208241542933676E-2</v>
      </c>
      <c r="O102" s="5">
        <f>_xlfn.STDEV.S(J102:J104)</f>
        <v>8.9613357764288979E-6</v>
      </c>
      <c r="P102" s="5">
        <f t="shared" ref="P102:P133" si="4">_xlfn.STDEV.S(G102:G104)</f>
        <v>5.6305713149646619E-5</v>
      </c>
      <c r="Q102">
        <f t="shared" ref="Q102:Q133" si="5">_xlfn.STDEV.S(E102:E104)</f>
        <v>8.4815171598796438E-6</v>
      </c>
      <c r="R102" s="5">
        <f>Table3[[#This Row],[stdev(rad/s)]]/SQRT(3)</f>
        <v>3.2508118643862327E-5</v>
      </c>
      <c r="S102" s="9">
        <f>Table3[[#This Row],[stdev(rad/s)]]/AVERAGE(G102:G104)</f>
        <v>7.589008916649727E-6</v>
      </c>
      <c r="T102" s="8">
        <f>Table3[[#This Row],[stdev(m)]]/AVERAGE(E102:E104)</f>
        <v>9.0052792073795152E-4</v>
      </c>
      <c r="U102" s="2">
        <f>(AVERAGE(E102:E104)-Table3[[#This Row],[Target Amplitude (m)]])/Table3[[#This Row],[Target Amplitude (m)]]</f>
        <v>-5.8161666666666639E-2</v>
      </c>
    </row>
    <row r="103" spans="1:22" x14ac:dyDescent="0.45">
      <c r="A103">
        <v>2</v>
      </c>
      <c r="B103">
        <v>1</v>
      </c>
      <c r="C103">
        <f>B103*1.118</f>
        <v>1.1180000000000001</v>
      </c>
      <c r="D103">
        <v>0.01</v>
      </c>
      <c r="E103">
        <v>9.4145099999999992E-3</v>
      </c>
      <c r="F103" s="6">
        <v>3.8999999999999999E-6</v>
      </c>
      <c r="G103" s="7">
        <v>7.4193600000000002</v>
      </c>
      <c r="H103" s="6">
        <v>3.8999999999999999E-5</v>
      </c>
      <c r="I103" s="6"/>
      <c r="J103" s="1">
        <f>0.159155*G103</f>
        <v>1.1808282407999999</v>
      </c>
      <c r="K103" s="1">
        <f>J103-B103</f>
        <v>0.18082824079999993</v>
      </c>
      <c r="L103" s="2">
        <f t="shared" si="1"/>
        <v>0.18082824079999993</v>
      </c>
      <c r="M103" s="1">
        <f t="shared" si="2"/>
        <v>6.2828240799999824E-2</v>
      </c>
      <c r="N103" s="2">
        <f t="shared" si="3"/>
        <v>5.6196995348837049E-2</v>
      </c>
      <c r="O103" s="1"/>
      <c r="R103" s="5"/>
      <c r="S103" s="9"/>
      <c r="T103" s="10"/>
      <c r="U103" s="2"/>
    </row>
    <row r="104" spans="1:22" x14ac:dyDescent="0.45">
      <c r="A104">
        <v>3</v>
      </c>
      <c r="B104">
        <v>1</v>
      </c>
      <c r="C104">
        <f>B104*1.118</f>
        <v>1.1180000000000001</v>
      </c>
      <c r="D104">
        <v>0.01</v>
      </c>
      <c r="E104">
        <v>9.4125300000000005E-3</v>
      </c>
      <c r="F104" s="6">
        <v>4.4000000000000002E-6</v>
      </c>
      <c r="G104" s="7">
        <v>7.4193300000000004</v>
      </c>
      <c r="H104" s="6">
        <v>4.3000000000000002E-5</v>
      </c>
      <c r="I104" s="6"/>
      <c r="J104" s="1">
        <f>0.159155*G104</f>
        <v>1.1808234661499999</v>
      </c>
      <c r="K104" s="1">
        <f>J104-B104</f>
        <v>0.18082346614999989</v>
      </c>
      <c r="L104" s="2">
        <f t="shared" si="1"/>
        <v>0.18082346614999989</v>
      </c>
      <c r="M104" s="1">
        <f t="shared" si="2"/>
        <v>6.2823466149999785E-2</v>
      </c>
      <c r="N104" s="2">
        <f t="shared" si="3"/>
        <v>5.6192724642218049E-2</v>
      </c>
      <c r="O104" s="1"/>
      <c r="R104" s="5"/>
      <c r="S104" s="9"/>
      <c r="T104" s="10"/>
      <c r="U104" s="2"/>
    </row>
    <row r="105" spans="1:22" x14ac:dyDescent="0.45">
      <c r="A105">
        <v>4</v>
      </c>
      <c r="B105">
        <v>2</v>
      </c>
      <c r="C105">
        <f t="shared" ref="C105:C166" si="6">B105*1.118</f>
        <v>2.2360000000000002</v>
      </c>
      <c r="D105">
        <v>0.01</v>
      </c>
      <c r="E105">
        <v>9.4217699999999995E-3</v>
      </c>
      <c r="F105" s="6">
        <v>4.1999999999999996E-6</v>
      </c>
      <c r="G105" s="7">
        <v>14.702400000000001</v>
      </c>
      <c r="H105" s="6">
        <v>5.1999999999999997E-5</v>
      </c>
      <c r="I105" s="6"/>
      <c r="J105" s="1">
        <f t="shared" ref="J105:J166" si="7">0.159155*G105</f>
        <v>2.339960472</v>
      </c>
      <c r="K105" s="1">
        <f t="shared" ref="K105:K166" si="8">J105-B105</f>
        <v>0.33996047200000001</v>
      </c>
      <c r="L105" s="2">
        <f t="shared" si="1"/>
        <v>0.16998023600000001</v>
      </c>
      <c r="M105" s="1">
        <f t="shared" si="2"/>
        <v>0.1039604719999998</v>
      </c>
      <c r="N105" s="2">
        <f t="shared" si="3"/>
        <v>4.6493949910554472E-2</v>
      </c>
      <c r="O105" s="5">
        <f>_xlfn.STDEV.S(J105:J107)</f>
        <v>1.1945463672060761E-4</v>
      </c>
      <c r="P105" s="5">
        <f t="shared" si="4"/>
        <v>7.5055534994657874E-4</v>
      </c>
      <c r="Q105">
        <f t="shared" si="5"/>
        <v>1.9002719103681646E-6</v>
      </c>
      <c r="R105" s="5">
        <f>Table3[[#This Row],[stdev(rad/s)]]/SQRT(3)</f>
        <v>4.3333333333337104E-4</v>
      </c>
      <c r="S105" s="9">
        <f>Table3[[#This Row],[stdev(rad/s)]]/AVERAGE(G105:G107)</f>
        <v>5.1049968142084518E-5</v>
      </c>
      <c r="T105" s="10">
        <f>Table3[[#This Row],[stdev(m)]]/AVERAGE(E105:E107)</f>
        <v>2.0172580861382164E-4</v>
      </c>
      <c r="U105" s="2">
        <f>(AVERAGE(E105:E107)-Table3[[#This Row],[Target Amplitude (m)]])/Table3[[#This Row],[Target Amplitude (m)]]</f>
        <v>-5.7992666666666776E-2</v>
      </c>
    </row>
    <row r="106" spans="1:22" x14ac:dyDescent="0.45">
      <c r="A106">
        <v>5</v>
      </c>
      <c r="B106">
        <v>2</v>
      </c>
      <c r="C106">
        <f t="shared" si="6"/>
        <v>2.2360000000000002</v>
      </c>
      <c r="D106">
        <v>0.01</v>
      </c>
      <c r="E106">
        <v>9.4180199999999992E-3</v>
      </c>
      <c r="F106" s="6">
        <v>3.9999999999999998E-6</v>
      </c>
      <c r="G106" s="7">
        <v>14.701599999999999</v>
      </c>
      <c r="H106" s="6">
        <v>2.7999999999999999E-6</v>
      </c>
      <c r="I106" s="6"/>
      <c r="J106" s="1">
        <f t="shared" si="7"/>
        <v>2.3398331479999999</v>
      </c>
      <c r="K106" s="1">
        <f t="shared" ref="K106" si="9">J106-B106</f>
        <v>0.33983314799999986</v>
      </c>
      <c r="L106" s="2">
        <f t="shared" si="1"/>
        <v>0.16991657399999993</v>
      </c>
      <c r="M106" s="1">
        <f t="shared" si="2"/>
        <v>0.10383314799999965</v>
      </c>
      <c r="N106" s="2">
        <f t="shared" si="3"/>
        <v>4.6437007155634903E-2</v>
      </c>
      <c r="O106" s="1"/>
      <c r="R106" s="5"/>
      <c r="S106" s="9"/>
      <c r="T106" s="10"/>
      <c r="U106" s="2"/>
    </row>
    <row r="107" spans="1:22" x14ac:dyDescent="0.45">
      <c r="A107">
        <v>6</v>
      </c>
      <c r="B107">
        <v>2</v>
      </c>
      <c r="C107">
        <f t="shared" si="6"/>
        <v>2.2360000000000002</v>
      </c>
      <c r="D107">
        <v>0.01</v>
      </c>
      <c r="E107">
        <v>9.4204300000000005E-3</v>
      </c>
      <c r="F107" s="6">
        <v>4.7999999999999998E-6</v>
      </c>
      <c r="G107" s="7">
        <v>14.703099999999999</v>
      </c>
      <c r="H107" s="6">
        <v>7.4999999999999993E-5</v>
      </c>
      <c r="I107" s="6"/>
      <c r="J107" s="1">
        <f t="shared" si="7"/>
        <v>2.3400718804999996</v>
      </c>
      <c r="K107" s="1">
        <f t="shared" ref="K107" si="10">J107-B107</f>
        <v>0.34007188049999959</v>
      </c>
      <c r="L107" s="2">
        <f t="shared" si="1"/>
        <v>0.1700359402499998</v>
      </c>
      <c r="M107" s="1">
        <f t="shared" si="2"/>
        <v>0.10407188049999938</v>
      </c>
      <c r="N107" s="2">
        <f t="shared" si="3"/>
        <v>4.6543774821108844E-2</v>
      </c>
      <c r="O107" s="1"/>
      <c r="R107" s="5"/>
      <c r="S107" s="9"/>
      <c r="T107" s="10"/>
      <c r="U107" s="2"/>
    </row>
    <row r="108" spans="1:22" x14ac:dyDescent="0.45">
      <c r="A108">
        <v>7</v>
      </c>
      <c r="B108">
        <v>3</v>
      </c>
      <c r="C108">
        <f t="shared" si="6"/>
        <v>3.3540000000000001</v>
      </c>
      <c r="D108">
        <v>0.01</v>
      </c>
      <c r="E108">
        <v>9.44884E-3</v>
      </c>
      <c r="F108" s="6">
        <v>5.4E-6</v>
      </c>
      <c r="G108" s="7">
        <v>21.901199999999999</v>
      </c>
      <c r="H108" s="6">
        <v>5.3000000000000001E-5</v>
      </c>
      <c r="I108" s="6"/>
      <c r="J108" s="1">
        <f t="shared" si="7"/>
        <v>3.4856854859999995</v>
      </c>
      <c r="K108" s="1">
        <f t="shared" si="8"/>
        <v>0.4856854859999995</v>
      </c>
      <c r="L108" s="2">
        <f t="shared" si="1"/>
        <v>0.16189516199999984</v>
      </c>
      <c r="M108" s="1">
        <f t="shared" si="2"/>
        <v>0.13168548599999941</v>
      </c>
      <c r="N108" s="2">
        <f t="shared" si="3"/>
        <v>3.9262220035777999E-2</v>
      </c>
      <c r="O108" s="5">
        <f>_xlfn.STDEV.S(J108:J110)</f>
        <v>5.1161174562105371E-5</v>
      </c>
      <c r="P108" s="5">
        <f t="shared" si="4"/>
        <v>3.2145502536568265E-4</v>
      </c>
      <c r="Q108">
        <f t="shared" si="5"/>
        <v>6.2825793269962382E-5</v>
      </c>
      <c r="R108" s="5">
        <f>Table3[[#This Row],[stdev(rad/s)]]/SQRT(3)</f>
        <v>1.8559214542723486E-4</v>
      </c>
      <c r="S108" s="9">
        <f>Table3[[#This Row],[stdev(rad/s)]]/AVERAGE(G108:G110)</f>
        <v>1.4677596769975403E-5</v>
      </c>
      <c r="T108" s="10">
        <f>Table3[[#This Row],[stdev(m)]]/AVERAGE(E108:E110)</f>
        <v>6.6724860492862826E-3</v>
      </c>
      <c r="U108" s="2">
        <f>(AVERAGE(E108:E110)-Table3[[#This Row],[Target Amplitude (m)]])/Table3[[#This Row],[Target Amplitude (m)]]</f>
        <v>-5.8435000000000084E-2</v>
      </c>
    </row>
    <row r="109" spans="1:22" x14ac:dyDescent="0.45">
      <c r="A109">
        <v>8</v>
      </c>
      <c r="B109">
        <v>3</v>
      </c>
      <c r="C109">
        <f t="shared" si="6"/>
        <v>3.3540000000000001</v>
      </c>
      <c r="D109">
        <v>0.01</v>
      </c>
      <c r="E109">
        <v>9.4549200000000003E-3</v>
      </c>
      <c r="F109" s="6">
        <v>5.4E-6</v>
      </c>
      <c r="G109" s="7">
        <v>21.900700000000001</v>
      </c>
      <c r="H109" s="6">
        <v>5.5999999999999999E-5</v>
      </c>
      <c r="I109" s="6"/>
      <c r="J109" s="1">
        <f t="shared" si="7"/>
        <v>3.4856059084999997</v>
      </c>
      <c r="K109" s="1">
        <f t="shared" ref="K109" si="11">J109-B109</f>
        <v>0.48560590849999974</v>
      </c>
      <c r="L109" s="2">
        <f t="shared" si="1"/>
        <v>0.16186863616666658</v>
      </c>
      <c r="M109" s="1">
        <f t="shared" si="2"/>
        <v>0.13160590849999965</v>
      </c>
      <c r="N109" s="2">
        <f t="shared" si="3"/>
        <v>3.9238493887894944E-2</v>
      </c>
      <c r="O109" s="1"/>
      <c r="R109" s="5"/>
      <c r="S109" s="9"/>
      <c r="T109" s="10"/>
      <c r="U109" s="2"/>
    </row>
    <row r="110" spans="1:22" x14ac:dyDescent="0.45">
      <c r="A110">
        <v>9</v>
      </c>
      <c r="B110">
        <v>3</v>
      </c>
      <c r="C110">
        <f t="shared" si="6"/>
        <v>3.3540000000000001</v>
      </c>
      <c r="D110">
        <v>0.01</v>
      </c>
      <c r="E110">
        <v>9.3431899999999995E-3</v>
      </c>
      <c r="F110" s="6">
        <v>7.7000000000000008E-6</v>
      </c>
      <c r="G110" s="7">
        <v>21.901299999999999</v>
      </c>
      <c r="H110" s="6">
        <v>5.3999999999999998E-5</v>
      </c>
      <c r="I110" s="6"/>
      <c r="J110" s="1">
        <f t="shared" si="7"/>
        <v>3.4857014014999996</v>
      </c>
      <c r="K110" s="1">
        <f t="shared" ref="K110:K112" si="12">J110-B110</f>
        <v>0.48570140149999963</v>
      </c>
      <c r="L110" s="2">
        <f t="shared" si="1"/>
        <v>0.16190046716666653</v>
      </c>
      <c r="M110" s="1">
        <f t="shared" si="2"/>
        <v>0.13170140149999954</v>
      </c>
      <c r="N110" s="2">
        <f t="shared" si="3"/>
        <v>3.9266965265354663E-2</v>
      </c>
      <c r="O110" s="1"/>
      <c r="R110" s="5"/>
      <c r="S110" s="9"/>
      <c r="T110" s="10"/>
      <c r="U110" s="2"/>
    </row>
    <row r="111" spans="1:22" x14ac:dyDescent="0.45">
      <c r="A111">
        <v>10</v>
      </c>
      <c r="B111">
        <v>4</v>
      </c>
      <c r="C111">
        <f t="shared" si="6"/>
        <v>4.4720000000000004</v>
      </c>
      <c r="D111">
        <v>0.01</v>
      </c>
      <c r="E111">
        <v>9.4196699999999998E-3</v>
      </c>
      <c r="F111" s="6">
        <v>7.9000000000000006E-6</v>
      </c>
      <c r="G111" s="7">
        <v>28.9573</v>
      </c>
      <c r="H111" s="6">
        <v>5.3000000000000001E-5</v>
      </c>
      <c r="I111" s="6"/>
      <c r="J111" s="1">
        <f t="shared" si="7"/>
        <v>4.6086990815000002</v>
      </c>
      <c r="K111" s="1">
        <f t="shared" ref="K111" si="13">J111-B111</f>
        <v>0.60869908150000018</v>
      </c>
      <c r="L111" s="2">
        <f t="shared" si="1"/>
        <v>0.15217477037500005</v>
      </c>
      <c r="M111" s="1">
        <f t="shared" si="2"/>
        <v>0.13669908149999976</v>
      </c>
      <c r="N111" s="2">
        <f t="shared" si="3"/>
        <v>3.0567773144007101E-2</v>
      </c>
      <c r="O111" s="1"/>
      <c r="P111" s="5">
        <f t="shared" si="4"/>
        <v>1.1532562594679344E-3</v>
      </c>
      <c r="Q111">
        <f t="shared" si="5"/>
        <v>5.2862331894585833E-5</v>
      </c>
      <c r="R111" s="5">
        <f>Table3[[#This Row],[stdev(rad/s)]]/SQRT(3)</f>
        <v>6.6583281184843287E-4</v>
      </c>
      <c r="S111" s="9">
        <f>Table3[[#This Row],[stdev(rad/s)]]/AVERAGE(G111:G113)</f>
        <v>3.9826235252991812E-5</v>
      </c>
      <c r="T111" s="10">
        <f>Table3[[#This Row],[stdev(m)]]/AVERAGE(E111:E113)</f>
        <v>5.5882816768530498E-3</v>
      </c>
      <c r="U111" s="2">
        <f>(AVERAGE(E111:E113)-Table3[[#This Row],[Target Amplitude (m)]])/Table3[[#This Row],[Target Amplitude (m)]]</f>
        <v>-5.4050333333333436E-2</v>
      </c>
    </row>
    <row r="112" spans="1:22" x14ac:dyDescent="0.45">
      <c r="A112">
        <v>11</v>
      </c>
      <c r="B112">
        <v>4</v>
      </c>
      <c r="C112">
        <f t="shared" si="6"/>
        <v>4.4720000000000004</v>
      </c>
      <c r="D112">
        <v>0.01</v>
      </c>
      <c r="E112">
        <v>9.4393500000000009E-3</v>
      </c>
      <c r="F112" s="6">
        <v>6.3999999999999997E-6</v>
      </c>
      <c r="G112" s="7">
        <v>28.956</v>
      </c>
      <c r="H112" s="6">
        <v>5.0000000000000002E-5</v>
      </c>
      <c r="I112" s="6"/>
      <c r="J112" s="1">
        <f t="shared" si="7"/>
        <v>4.6084921799999998</v>
      </c>
      <c r="K112" s="1">
        <f t="shared" si="12"/>
        <v>0.60849217999999983</v>
      </c>
      <c r="L112" s="2">
        <f t="shared" si="1"/>
        <v>0.15212304499999996</v>
      </c>
      <c r="M112" s="1">
        <f t="shared" si="2"/>
        <v>0.13649217999999941</v>
      </c>
      <c r="N112" s="2">
        <f t="shared" si="3"/>
        <v>3.0521507155634928E-2</v>
      </c>
      <c r="O112" s="1"/>
      <c r="R112" s="5"/>
      <c r="S112" s="9"/>
      <c r="T112" s="10"/>
      <c r="U112" s="2"/>
    </row>
    <row r="113" spans="1:21" x14ac:dyDescent="0.45">
      <c r="A113">
        <v>12</v>
      </c>
      <c r="B113">
        <v>4</v>
      </c>
      <c r="C113">
        <f t="shared" si="6"/>
        <v>4.4720000000000004</v>
      </c>
      <c r="D113">
        <v>0.01</v>
      </c>
      <c r="E113">
        <v>9.5194700000000004E-3</v>
      </c>
      <c r="F113" s="6">
        <v>9.0000000000000002E-6</v>
      </c>
      <c r="G113" s="7">
        <v>28.958300000000001</v>
      </c>
      <c r="H113" s="6">
        <v>4.8999999999999998E-5</v>
      </c>
      <c r="I113" s="6"/>
      <c r="J113" s="1">
        <f t="shared" si="7"/>
        <v>4.6088582364999997</v>
      </c>
      <c r="K113" s="1">
        <f t="shared" si="8"/>
        <v>0.60885823649999971</v>
      </c>
      <c r="L113" s="2">
        <f t="shared" si="1"/>
        <v>0.15221455912499993</v>
      </c>
      <c r="M113" s="1">
        <f t="shared" si="2"/>
        <v>0.13685823649999929</v>
      </c>
      <c r="N113" s="2">
        <f t="shared" si="3"/>
        <v>3.0603362365831679E-2</v>
      </c>
      <c r="O113" s="1"/>
      <c r="R113" s="5"/>
      <c r="S113" s="9"/>
      <c r="T113" s="10"/>
      <c r="U113" s="2"/>
    </row>
    <row r="114" spans="1:21" x14ac:dyDescent="0.45">
      <c r="A114">
        <v>13</v>
      </c>
      <c r="B114">
        <v>5</v>
      </c>
      <c r="C114">
        <f t="shared" si="6"/>
        <v>5.5900000000000007</v>
      </c>
      <c r="D114">
        <v>0.01</v>
      </c>
      <c r="E114">
        <v>9.6801400000000003E-3</v>
      </c>
      <c r="F114" s="6">
        <v>8.6000000000000007E-6</v>
      </c>
      <c r="G114" s="7">
        <v>35.991199999999999</v>
      </c>
      <c r="H114" s="6">
        <v>4.8999999999999998E-5</v>
      </c>
      <c r="I114" s="6"/>
      <c r="J114" s="1">
        <f t="shared" si="7"/>
        <v>5.7281794359999996</v>
      </c>
      <c r="K114" s="1">
        <f t="shared" si="8"/>
        <v>0.72817943599999957</v>
      </c>
      <c r="L114" s="2">
        <f t="shared" si="1"/>
        <v>0.14563588719999992</v>
      </c>
      <c r="M114" s="1">
        <f t="shared" si="2"/>
        <v>0.13817943599999882</v>
      </c>
      <c r="N114" s="2">
        <f t="shared" si="3"/>
        <v>2.4719040429337889E-2</v>
      </c>
      <c r="O114" s="1"/>
      <c r="P114" s="5">
        <f t="shared" si="4"/>
        <v>2.1794494717725927E-3</v>
      </c>
      <c r="Q114">
        <f t="shared" si="5"/>
        <v>2.5274644079261254E-5</v>
      </c>
      <c r="R114" s="5">
        <f>Table3[[#This Row],[stdev(rad/s)]]/SQRT(3)</f>
        <v>1.2583057392130941E-3</v>
      </c>
      <c r="S114" s="9">
        <f>Table3[[#This Row],[stdev(rad/s)]]/AVERAGE(G114:G116)</f>
        <v>6.0556747997304633E-5</v>
      </c>
      <c r="T114" s="10">
        <f>Table3[[#This Row],[stdev(m)]]/AVERAGE(E114:E116)</f>
        <v>2.6187505608084955E-3</v>
      </c>
      <c r="U114" s="2">
        <f>(AVERAGE(E114:E116)-Table3[[#This Row],[Target Amplitude (m)]])/Table3[[#This Row],[Target Amplitude (m)]]</f>
        <v>-3.4858666666666774E-2</v>
      </c>
    </row>
    <row r="115" spans="1:21" x14ac:dyDescent="0.45">
      <c r="A115">
        <v>14</v>
      </c>
      <c r="B115">
        <v>5</v>
      </c>
      <c r="C115">
        <f t="shared" si="6"/>
        <v>5.5900000000000007</v>
      </c>
      <c r="D115">
        <v>0.01</v>
      </c>
      <c r="E115">
        <v>9.6325899999999999E-3</v>
      </c>
      <c r="F115" s="6">
        <v>7.5000000000000002E-6</v>
      </c>
      <c r="G115" s="7">
        <v>35.987699999999997</v>
      </c>
      <c r="H115" s="6">
        <v>5.1E-5</v>
      </c>
      <c r="I115" s="6"/>
      <c r="J115" s="1">
        <f t="shared" si="7"/>
        <v>5.727622393499999</v>
      </c>
      <c r="K115" s="1">
        <f t="shared" ref="K115" si="14">J115-B115</f>
        <v>0.72762239349999902</v>
      </c>
      <c r="L115" s="2">
        <f t="shared" si="1"/>
        <v>0.14552447869999979</v>
      </c>
      <c r="M115" s="1">
        <f t="shared" si="2"/>
        <v>0.13762239349999827</v>
      </c>
      <c r="N115" s="2">
        <f t="shared" si="3"/>
        <v>2.4619390608228667E-2</v>
      </c>
      <c r="O115" s="1"/>
      <c r="R115" s="5"/>
      <c r="S115" s="9"/>
      <c r="T115" s="10"/>
      <c r="U115" s="2"/>
    </row>
    <row r="116" spans="1:21" x14ac:dyDescent="0.45">
      <c r="A116">
        <v>15</v>
      </c>
      <c r="B116">
        <v>5</v>
      </c>
      <c r="C116">
        <f t="shared" si="6"/>
        <v>5.5900000000000007</v>
      </c>
      <c r="D116">
        <v>0.01</v>
      </c>
      <c r="E116">
        <v>9.6415100000000007E-3</v>
      </c>
      <c r="F116" s="6">
        <v>8.8000000000000004E-6</v>
      </c>
      <c r="G116" s="7">
        <v>35.991700000000002</v>
      </c>
      <c r="H116" s="6">
        <v>5.1999999999999997E-5</v>
      </c>
      <c r="I116" s="6"/>
      <c r="J116" s="1">
        <f t="shared" si="7"/>
        <v>5.7282590134999998</v>
      </c>
      <c r="K116" s="1">
        <f t="shared" ref="K116:K118" si="15">J116-B116</f>
        <v>0.72825901349999977</v>
      </c>
      <c r="L116" s="2">
        <f t="shared" si="1"/>
        <v>0.14565180269999994</v>
      </c>
      <c r="M116" s="1">
        <f t="shared" si="2"/>
        <v>0.13825901349999903</v>
      </c>
      <c r="N116" s="2">
        <f t="shared" si="3"/>
        <v>2.4733276118067801E-2</v>
      </c>
      <c r="O116" s="1"/>
      <c r="R116" s="5"/>
      <c r="S116" s="9"/>
      <c r="T116" s="10"/>
      <c r="U116" s="2"/>
    </row>
    <row r="117" spans="1:21" x14ac:dyDescent="0.45">
      <c r="A117">
        <v>16</v>
      </c>
      <c r="B117">
        <v>6</v>
      </c>
      <c r="C117">
        <f t="shared" si="6"/>
        <v>6.7080000000000002</v>
      </c>
      <c r="D117">
        <v>0.01</v>
      </c>
      <c r="E117">
        <v>9.3410899999999998E-3</v>
      </c>
      <c r="F117" s="6">
        <v>9.3999999999999998E-6</v>
      </c>
      <c r="G117" s="7">
        <v>42.249699999999997</v>
      </c>
      <c r="H117" s="6">
        <v>5.0000000000000002E-5</v>
      </c>
      <c r="I117" s="6"/>
      <c r="J117" s="1">
        <f t="shared" si="7"/>
        <v>6.7242510034999992</v>
      </c>
      <c r="K117" s="1">
        <f t="shared" ref="K117" si="16">J117-B117</f>
        <v>0.72425100349999916</v>
      </c>
      <c r="L117" s="2">
        <f t="shared" si="1"/>
        <v>0.1207085005833332</v>
      </c>
      <c r="M117" s="1">
        <f t="shared" si="2"/>
        <v>1.6251003499998973E-2</v>
      </c>
      <c r="N117" s="2">
        <f t="shared" si="3"/>
        <v>2.4226302176504132E-3</v>
      </c>
      <c r="O117" s="1"/>
      <c r="P117" s="5">
        <f t="shared" si="4"/>
        <v>7.0945988846161066E-4</v>
      </c>
      <c r="Q117">
        <f t="shared" si="5"/>
        <v>1.4595233891011539E-4</v>
      </c>
      <c r="R117" s="5">
        <f>Table3[[#This Row],[stdev(rad/s)]]/SQRT(3)</f>
        <v>4.0960685758255279E-4</v>
      </c>
      <c r="S117" s="9">
        <f>Table3[[#This Row],[stdev(rad/s)]]/AVERAGE(G117:G119)</f>
        <v>1.679181754293719E-5</v>
      </c>
      <c r="T117" s="10">
        <f>Table3[[#This Row],[stdev(m)]]/AVERAGE(E117:E119)</f>
        <v>1.5903440286702132E-2</v>
      </c>
      <c r="U117" s="2">
        <f>(AVERAGE(E117:E119)-Table3[[#This Row],[Target Amplitude (m)]])/Table3[[#This Row],[Target Amplitude (m)]]</f>
        <v>-8.2259333333333309E-2</v>
      </c>
    </row>
    <row r="118" spans="1:21" x14ac:dyDescent="0.45">
      <c r="A118">
        <v>17</v>
      </c>
      <c r="B118">
        <v>6</v>
      </c>
      <c r="C118">
        <f t="shared" si="6"/>
        <v>6.7080000000000002</v>
      </c>
      <c r="D118">
        <v>0.01</v>
      </c>
      <c r="E118">
        <v>9.1303200000000008E-3</v>
      </c>
      <c r="F118" s="6">
        <v>1.1E-5</v>
      </c>
      <c r="G118" s="7">
        <v>42.251100000000001</v>
      </c>
      <c r="H118" s="6">
        <v>5.8E-5</v>
      </c>
      <c r="I118" s="6"/>
      <c r="J118" s="1">
        <f t="shared" si="7"/>
        <v>6.7244738205000001</v>
      </c>
      <c r="K118" s="1">
        <f t="shared" si="15"/>
        <v>0.72447382050000009</v>
      </c>
      <c r="L118" s="2">
        <f t="shared" si="1"/>
        <v>0.12074563675000001</v>
      </c>
      <c r="M118" s="1">
        <f t="shared" si="2"/>
        <v>1.6473820499999903E-2</v>
      </c>
      <c r="N118" s="2">
        <f t="shared" si="3"/>
        <v>2.4558468246869262E-3</v>
      </c>
      <c r="O118" s="1"/>
      <c r="R118" s="5"/>
      <c r="S118" s="9"/>
      <c r="T118" s="10"/>
      <c r="U118" s="2"/>
    </row>
    <row r="119" spans="1:21" x14ac:dyDescent="0.45">
      <c r="A119">
        <v>18</v>
      </c>
      <c r="B119">
        <v>6</v>
      </c>
      <c r="C119">
        <f t="shared" si="6"/>
        <v>6.7080000000000002</v>
      </c>
      <c r="D119">
        <v>0.01</v>
      </c>
      <c r="E119">
        <v>9.0608100000000007E-3</v>
      </c>
      <c r="F119" s="6">
        <v>1.2E-5</v>
      </c>
      <c r="G119" s="7">
        <v>42.2502</v>
      </c>
      <c r="H119" s="6">
        <v>6.2000000000000003E-5</v>
      </c>
      <c r="I119" s="6"/>
      <c r="J119" s="1">
        <f t="shared" si="7"/>
        <v>6.7243305809999994</v>
      </c>
      <c r="K119" s="1">
        <f t="shared" si="8"/>
        <v>0.72433058099999936</v>
      </c>
      <c r="L119" s="2">
        <f t="shared" si="1"/>
        <v>0.1207217634999999</v>
      </c>
      <c r="M119" s="1">
        <f t="shared" si="2"/>
        <v>1.6330580999999178E-2</v>
      </c>
      <c r="N119" s="2">
        <f t="shared" si="3"/>
        <v>2.434493291592006E-3</v>
      </c>
      <c r="O119" s="1"/>
      <c r="R119" s="5"/>
      <c r="S119" s="9"/>
      <c r="T119" s="10"/>
      <c r="U119" s="2"/>
    </row>
    <row r="120" spans="1:21" hidden="1" x14ac:dyDescent="0.45">
      <c r="A120">
        <v>19</v>
      </c>
      <c r="B120">
        <v>7</v>
      </c>
      <c r="C120">
        <f t="shared" si="6"/>
        <v>7.8260000000000005</v>
      </c>
      <c r="D120">
        <v>0.01</v>
      </c>
      <c r="F120" s="6"/>
      <c r="G120" s="7"/>
      <c r="H120" s="6"/>
      <c r="I120" s="6"/>
      <c r="J120" s="1">
        <f t="shared" si="7"/>
        <v>0</v>
      </c>
      <c r="K120" s="1"/>
      <c r="L120" s="2"/>
      <c r="M120" s="1"/>
      <c r="N120" s="2"/>
      <c r="O120" s="1"/>
      <c r="P120" s="5" t="e">
        <f t="shared" si="4"/>
        <v>#DIV/0!</v>
      </c>
      <c r="Q120" t="e">
        <f t="shared" si="5"/>
        <v>#DIV/0!</v>
      </c>
      <c r="R120" s="5" t="e">
        <f>Table3[[#This Row],[stdev(rad/s)]]/SQRT(3)</f>
        <v>#DIV/0!</v>
      </c>
      <c r="S120" s="9" t="e">
        <f>Table3[[#This Row],[stdev(rad/s)]]/AVERAGE(G120:G122)</f>
        <v>#DIV/0!</v>
      </c>
      <c r="T120" s="10" t="e">
        <f>Table3[[#This Row],[stdev(m)]]/AVERAGE(E120:E122)</f>
        <v>#DIV/0!</v>
      </c>
      <c r="U120" s="2" t="e">
        <f>(AVERAGE(E120:E122)-Table3[[#This Row],[Target Amplitude (m)]])/Table3[[#This Row],[Target Amplitude (m)]]</f>
        <v>#DIV/0!</v>
      </c>
    </row>
    <row r="121" spans="1:21" hidden="1" x14ac:dyDescent="0.45">
      <c r="A121">
        <v>20</v>
      </c>
      <c r="B121">
        <v>7</v>
      </c>
      <c r="C121">
        <f t="shared" si="6"/>
        <v>7.8260000000000005</v>
      </c>
      <c r="D121">
        <v>0.01</v>
      </c>
      <c r="F121" s="6"/>
      <c r="G121" s="7"/>
      <c r="H121" s="6"/>
      <c r="I121" s="6"/>
      <c r="J121" s="1">
        <f t="shared" si="7"/>
        <v>0</v>
      </c>
      <c r="K121" s="1"/>
      <c r="L121" s="2"/>
      <c r="M121" s="1"/>
      <c r="N121" s="2"/>
      <c r="O121" s="1"/>
      <c r="P121" s="5" t="e">
        <f t="shared" si="4"/>
        <v>#DIV/0!</v>
      </c>
      <c r="Q121" t="e">
        <f t="shared" si="5"/>
        <v>#DIV/0!</v>
      </c>
      <c r="R121" s="5" t="e">
        <f>Table3[[#This Row],[stdev(rad/s)]]/SQRT(3)</f>
        <v>#DIV/0!</v>
      </c>
      <c r="S121" s="9" t="e">
        <f>Table3[[#This Row],[stdev(rad/s)]]/AVERAGE(G121:G123)</f>
        <v>#DIV/0!</v>
      </c>
      <c r="T121" s="10" t="e">
        <f>Table3[[#This Row],[stdev(m)]]/AVERAGE(E121:E123)</f>
        <v>#DIV/0!</v>
      </c>
      <c r="U121" s="2" t="e">
        <f>(AVERAGE(E121:E123)-Table3[[#This Row],[Target Amplitude (m)]])/Table3[[#This Row],[Target Amplitude (m)]]</f>
        <v>#DIV/0!</v>
      </c>
    </row>
    <row r="122" spans="1:21" hidden="1" x14ac:dyDescent="0.45">
      <c r="A122">
        <v>21</v>
      </c>
      <c r="B122">
        <v>7</v>
      </c>
      <c r="C122">
        <f t="shared" si="6"/>
        <v>7.8260000000000005</v>
      </c>
      <c r="D122">
        <v>0.01</v>
      </c>
      <c r="F122" s="6"/>
      <c r="G122" s="7"/>
      <c r="H122" s="6"/>
      <c r="I122" s="6"/>
      <c r="J122" s="1">
        <f t="shared" si="7"/>
        <v>0</v>
      </c>
      <c r="K122" s="1"/>
      <c r="L122" s="2"/>
      <c r="M122" s="1"/>
      <c r="N122" s="2"/>
      <c r="O122" s="1"/>
      <c r="P122" s="5" t="e">
        <f t="shared" si="4"/>
        <v>#DIV/0!</v>
      </c>
      <c r="Q122" t="e">
        <f t="shared" si="5"/>
        <v>#DIV/0!</v>
      </c>
      <c r="R122" s="5" t="e">
        <f>Table3[[#This Row],[stdev(rad/s)]]/SQRT(3)</f>
        <v>#DIV/0!</v>
      </c>
      <c r="S122" s="9" t="e">
        <f>Table3[[#This Row],[stdev(rad/s)]]/AVERAGE(G122:G124)</f>
        <v>#DIV/0!</v>
      </c>
      <c r="T122" s="10" t="e">
        <f>Table3[[#This Row],[stdev(m)]]/AVERAGE(E122:E124)</f>
        <v>#DIV/0!</v>
      </c>
      <c r="U122" s="2" t="e">
        <f>(AVERAGE(E122:E124)-Table3[[#This Row],[Target Amplitude (m)]])/Table3[[#This Row],[Target Amplitude (m)]]</f>
        <v>#DIV/0!</v>
      </c>
    </row>
    <row r="123" spans="1:21" hidden="1" x14ac:dyDescent="0.45">
      <c r="A123">
        <v>22</v>
      </c>
      <c r="B123">
        <v>8</v>
      </c>
      <c r="C123">
        <f t="shared" si="6"/>
        <v>8.9440000000000008</v>
      </c>
      <c r="D123">
        <v>0.01</v>
      </c>
      <c r="F123" s="6"/>
      <c r="G123" s="7"/>
      <c r="H123" s="6"/>
      <c r="I123" s="6"/>
      <c r="J123" s="1">
        <f t="shared" si="7"/>
        <v>0</v>
      </c>
      <c r="K123" s="1"/>
      <c r="L123" s="2"/>
      <c r="M123" s="1"/>
      <c r="N123" s="2"/>
      <c r="O123" s="1"/>
      <c r="P123" s="5" t="e">
        <f t="shared" si="4"/>
        <v>#DIV/0!</v>
      </c>
      <c r="Q123" t="e">
        <f t="shared" si="5"/>
        <v>#DIV/0!</v>
      </c>
      <c r="R123" s="5" t="e">
        <f>Table3[[#This Row],[stdev(rad/s)]]/SQRT(3)</f>
        <v>#DIV/0!</v>
      </c>
      <c r="S123" s="9" t="e">
        <f>Table3[[#This Row],[stdev(rad/s)]]/AVERAGE(G123:G125)</f>
        <v>#DIV/0!</v>
      </c>
      <c r="T123" s="10" t="e">
        <f>Table3[[#This Row],[stdev(m)]]/AVERAGE(E123:E125)</f>
        <v>#DIV/0!</v>
      </c>
      <c r="U123" s="2" t="e">
        <f>(AVERAGE(E123:E125)-Table3[[#This Row],[Target Amplitude (m)]])/Table3[[#This Row],[Target Amplitude (m)]]</f>
        <v>#DIV/0!</v>
      </c>
    </row>
    <row r="124" spans="1:21" hidden="1" x14ac:dyDescent="0.45">
      <c r="A124">
        <v>23</v>
      </c>
      <c r="B124">
        <v>8</v>
      </c>
      <c r="C124">
        <f t="shared" si="6"/>
        <v>8.9440000000000008</v>
      </c>
      <c r="D124">
        <v>0.01</v>
      </c>
      <c r="F124" s="6"/>
      <c r="G124" s="7"/>
      <c r="H124" s="6"/>
      <c r="I124" s="6"/>
      <c r="J124" s="1">
        <f t="shared" si="7"/>
        <v>0</v>
      </c>
      <c r="K124" s="1"/>
      <c r="L124" s="2"/>
      <c r="M124" s="1"/>
      <c r="N124" s="2"/>
      <c r="O124" s="1"/>
      <c r="P124" s="5" t="e">
        <f t="shared" si="4"/>
        <v>#DIV/0!</v>
      </c>
      <c r="Q124" t="e">
        <f t="shared" si="5"/>
        <v>#DIV/0!</v>
      </c>
      <c r="R124" s="5" t="e">
        <f>Table3[[#This Row],[stdev(rad/s)]]/SQRT(3)</f>
        <v>#DIV/0!</v>
      </c>
      <c r="S124" s="9" t="e">
        <f>Table3[[#This Row],[stdev(rad/s)]]/AVERAGE(G124:G126)</f>
        <v>#DIV/0!</v>
      </c>
      <c r="T124" s="10" t="e">
        <f>Table3[[#This Row],[stdev(m)]]/AVERAGE(E124:E126)</f>
        <v>#DIV/0!</v>
      </c>
      <c r="U124" s="2" t="e">
        <f>(AVERAGE(E124:E126)-Table3[[#This Row],[Target Amplitude (m)]])/Table3[[#This Row],[Target Amplitude (m)]]</f>
        <v>#DIV/0!</v>
      </c>
    </row>
    <row r="125" spans="1:21" hidden="1" x14ac:dyDescent="0.45">
      <c r="A125">
        <v>24</v>
      </c>
      <c r="B125">
        <v>8</v>
      </c>
      <c r="C125">
        <f t="shared" si="6"/>
        <v>8.9440000000000008</v>
      </c>
      <c r="D125">
        <v>0.01</v>
      </c>
      <c r="F125" s="6"/>
      <c r="G125" s="7"/>
      <c r="H125" s="6"/>
      <c r="I125" s="6"/>
      <c r="J125" s="1">
        <f t="shared" si="7"/>
        <v>0</v>
      </c>
      <c r="K125" s="1"/>
      <c r="L125" s="2"/>
      <c r="M125" s="1"/>
      <c r="N125" s="2"/>
      <c r="O125" s="1"/>
      <c r="P125" s="5" t="e">
        <f t="shared" si="4"/>
        <v>#DIV/0!</v>
      </c>
      <c r="Q125" t="e">
        <f t="shared" si="5"/>
        <v>#DIV/0!</v>
      </c>
      <c r="R125" s="5" t="e">
        <f>Table3[[#This Row],[stdev(rad/s)]]/SQRT(3)</f>
        <v>#DIV/0!</v>
      </c>
      <c r="S125" s="9" t="e">
        <f>Table3[[#This Row],[stdev(rad/s)]]/AVERAGE(G125:G127)</f>
        <v>#DIV/0!</v>
      </c>
      <c r="T125" s="10" t="e">
        <f>Table3[[#This Row],[stdev(m)]]/AVERAGE(E125:E127)</f>
        <v>#DIV/0!</v>
      </c>
      <c r="U125" s="2" t="e">
        <f>(AVERAGE(E125:E127)-Table3[[#This Row],[Target Amplitude (m)]])/Table3[[#This Row],[Target Amplitude (m)]]</f>
        <v>#DIV/0!</v>
      </c>
    </row>
    <row r="126" spans="1:21" hidden="1" x14ac:dyDescent="0.45">
      <c r="A126">
        <v>25</v>
      </c>
      <c r="B126">
        <v>9</v>
      </c>
      <c r="C126">
        <f t="shared" si="6"/>
        <v>10.062000000000001</v>
      </c>
      <c r="D126">
        <v>0.01</v>
      </c>
      <c r="F126" s="6"/>
      <c r="G126" s="7"/>
      <c r="H126" s="6"/>
      <c r="I126" s="6"/>
      <c r="J126" s="1">
        <f t="shared" si="7"/>
        <v>0</v>
      </c>
      <c r="K126" s="1"/>
      <c r="L126" s="2"/>
      <c r="M126" s="1"/>
      <c r="N126" s="2"/>
      <c r="O126" s="1"/>
      <c r="P126" s="5" t="e">
        <f t="shared" si="4"/>
        <v>#DIV/0!</v>
      </c>
      <c r="Q126" t="e">
        <f t="shared" si="5"/>
        <v>#DIV/0!</v>
      </c>
      <c r="R126" s="5" t="e">
        <f>Table3[[#This Row],[stdev(rad/s)]]/SQRT(3)</f>
        <v>#DIV/0!</v>
      </c>
      <c r="S126" s="9" t="e">
        <f>Table3[[#This Row],[stdev(rad/s)]]/AVERAGE(G126:G128)</f>
        <v>#DIV/0!</v>
      </c>
      <c r="T126" s="10" t="e">
        <f>Table3[[#This Row],[stdev(m)]]/AVERAGE(E126:E128)</f>
        <v>#DIV/0!</v>
      </c>
      <c r="U126" s="2" t="e">
        <f>(AVERAGE(E126:E128)-Table3[[#This Row],[Target Amplitude (m)]])/Table3[[#This Row],[Target Amplitude (m)]]</f>
        <v>#DIV/0!</v>
      </c>
    </row>
    <row r="127" spans="1:21" hidden="1" x14ac:dyDescent="0.45">
      <c r="A127">
        <v>26</v>
      </c>
      <c r="B127">
        <v>9</v>
      </c>
      <c r="C127">
        <f t="shared" si="6"/>
        <v>10.062000000000001</v>
      </c>
      <c r="D127">
        <v>0.01</v>
      </c>
      <c r="F127" s="6"/>
      <c r="G127" s="7"/>
      <c r="H127" s="6"/>
      <c r="I127" s="6"/>
      <c r="J127" s="1">
        <f t="shared" si="7"/>
        <v>0</v>
      </c>
      <c r="K127" s="1"/>
      <c r="L127" s="2"/>
      <c r="M127" s="1"/>
      <c r="N127" s="2"/>
      <c r="O127" s="1"/>
      <c r="P127" s="5" t="e">
        <f t="shared" si="4"/>
        <v>#DIV/0!</v>
      </c>
      <c r="Q127" t="e">
        <f t="shared" si="5"/>
        <v>#DIV/0!</v>
      </c>
      <c r="R127" s="5" t="e">
        <f>Table3[[#This Row],[stdev(rad/s)]]/SQRT(3)</f>
        <v>#DIV/0!</v>
      </c>
      <c r="S127" s="9" t="e">
        <f>Table3[[#This Row],[stdev(rad/s)]]/AVERAGE(G127:G129)</f>
        <v>#DIV/0!</v>
      </c>
      <c r="T127" s="10" t="e">
        <f>Table3[[#This Row],[stdev(m)]]/AVERAGE(E127:E129)</f>
        <v>#DIV/0!</v>
      </c>
      <c r="U127" s="2" t="e">
        <f>(AVERAGE(E127:E129)-Table3[[#This Row],[Target Amplitude (m)]])/Table3[[#This Row],[Target Amplitude (m)]]</f>
        <v>#DIV/0!</v>
      </c>
    </row>
    <row r="128" spans="1:21" hidden="1" x14ac:dyDescent="0.45">
      <c r="A128">
        <v>27</v>
      </c>
      <c r="B128">
        <v>9</v>
      </c>
      <c r="C128">
        <f t="shared" si="6"/>
        <v>10.062000000000001</v>
      </c>
      <c r="D128">
        <v>0.01</v>
      </c>
      <c r="F128" s="6"/>
      <c r="G128" s="7"/>
      <c r="H128" s="6"/>
      <c r="I128" s="6"/>
      <c r="J128" s="1">
        <f t="shared" si="7"/>
        <v>0</v>
      </c>
      <c r="K128" s="1"/>
      <c r="L128" s="2"/>
      <c r="M128" s="1"/>
      <c r="N128" s="2"/>
      <c r="O128" s="1"/>
      <c r="P128" s="5" t="e">
        <f t="shared" si="4"/>
        <v>#DIV/0!</v>
      </c>
      <c r="Q128" t="e">
        <f t="shared" si="5"/>
        <v>#DIV/0!</v>
      </c>
      <c r="R128" s="5" t="e">
        <f>Table3[[#This Row],[stdev(rad/s)]]/SQRT(3)</f>
        <v>#DIV/0!</v>
      </c>
      <c r="S128" s="9" t="e">
        <f>Table3[[#This Row],[stdev(rad/s)]]/AVERAGE(G128:G130)</f>
        <v>#DIV/0!</v>
      </c>
      <c r="T128" s="10" t="e">
        <f>Table3[[#This Row],[stdev(m)]]/AVERAGE(E128:E130)</f>
        <v>#DIV/0!</v>
      </c>
      <c r="U128" s="2" t="e">
        <f>(AVERAGE(E128:E130)-Table3[[#This Row],[Target Amplitude (m)]])/Table3[[#This Row],[Target Amplitude (m)]]</f>
        <v>#DIV/0!</v>
      </c>
    </row>
    <row r="129" spans="1:21" hidden="1" x14ac:dyDescent="0.45">
      <c r="A129">
        <v>28</v>
      </c>
      <c r="B129">
        <v>10</v>
      </c>
      <c r="C129">
        <f t="shared" si="6"/>
        <v>11.180000000000001</v>
      </c>
      <c r="D129">
        <v>0.01</v>
      </c>
      <c r="F129" s="6"/>
      <c r="G129" s="7"/>
      <c r="H129" s="6"/>
      <c r="I129" s="6"/>
      <c r="J129" s="1">
        <f t="shared" si="7"/>
        <v>0</v>
      </c>
      <c r="K129" s="1"/>
      <c r="L129" s="2"/>
      <c r="M129" s="1"/>
      <c r="N129" s="2"/>
      <c r="O129" s="1"/>
      <c r="P129" s="5" t="e">
        <f t="shared" si="4"/>
        <v>#DIV/0!</v>
      </c>
      <c r="Q129" t="e">
        <f t="shared" si="5"/>
        <v>#DIV/0!</v>
      </c>
      <c r="R129" s="5" t="e">
        <f>Table3[[#This Row],[stdev(rad/s)]]/SQRT(3)</f>
        <v>#DIV/0!</v>
      </c>
      <c r="S129" s="9" t="e">
        <f>Table3[[#This Row],[stdev(rad/s)]]/AVERAGE(G129:G131)</f>
        <v>#DIV/0!</v>
      </c>
      <c r="T129" s="10" t="e">
        <f>Table3[[#This Row],[stdev(m)]]/AVERAGE(E129:E131)</f>
        <v>#DIV/0!</v>
      </c>
      <c r="U129" s="2" t="e">
        <f>(AVERAGE(E129:E131)-Table3[[#This Row],[Target Amplitude (m)]])/Table3[[#This Row],[Target Amplitude (m)]]</f>
        <v>#DIV/0!</v>
      </c>
    </row>
    <row r="130" spans="1:21" hidden="1" x14ac:dyDescent="0.45">
      <c r="A130">
        <v>29</v>
      </c>
      <c r="B130">
        <v>10</v>
      </c>
      <c r="C130">
        <f t="shared" si="6"/>
        <v>11.180000000000001</v>
      </c>
      <c r="D130">
        <v>0.01</v>
      </c>
      <c r="F130" s="6"/>
      <c r="G130" s="7"/>
      <c r="H130" s="6"/>
      <c r="I130" s="6"/>
      <c r="J130" s="1">
        <f t="shared" si="7"/>
        <v>0</v>
      </c>
      <c r="K130" s="1"/>
      <c r="L130" s="2"/>
      <c r="M130" s="1"/>
      <c r="N130" s="2"/>
      <c r="O130" s="1"/>
      <c r="P130" s="5" t="e">
        <f t="shared" si="4"/>
        <v>#DIV/0!</v>
      </c>
      <c r="Q130" t="e">
        <f t="shared" si="5"/>
        <v>#DIV/0!</v>
      </c>
      <c r="R130" s="5" t="e">
        <f>Table3[[#This Row],[stdev(rad/s)]]/SQRT(3)</f>
        <v>#DIV/0!</v>
      </c>
      <c r="S130" s="9" t="e">
        <f>Table3[[#This Row],[stdev(rad/s)]]/AVERAGE(G130:G132)</f>
        <v>#DIV/0!</v>
      </c>
      <c r="T130" s="10" t="e">
        <f>Table3[[#This Row],[stdev(m)]]/AVERAGE(E130:E132)</f>
        <v>#DIV/0!</v>
      </c>
      <c r="U130" s="2" t="e">
        <f>(AVERAGE(E130:E132)-Table3[[#This Row],[Target Amplitude (m)]])/Table3[[#This Row],[Target Amplitude (m)]]</f>
        <v>#DIV/0!</v>
      </c>
    </row>
    <row r="131" spans="1:21" hidden="1" x14ac:dyDescent="0.45">
      <c r="A131">
        <v>30</v>
      </c>
      <c r="B131">
        <v>10</v>
      </c>
      <c r="C131">
        <f t="shared" si="6"/>
        <v>11.180000000000001</v>
      </c>
      <c r="D131">
        <v>0.01</v>
      </c>
      <c r="F131" s="6"/>
      <c r="G131" s="7"/>
      <c r="H131" s="6"/>
      <c r="I131" s="6"/>
      <c r="J131" s="1">
        <f t="shared" si="7"/>
        <v>0</v>
      </c>
      <c r="K131" s="1"/>
      <c r="L131" s="2"/>
      <c r="M131" s="1"/>
      <c r="N131" s="2"/>
      <c r="O131" s="1"/>
      <c r="P131" s="5" t="e">
        <f t="shared" si="4"/>
        <v>#DIV/0!</v>
      </c>
      <c r="Q131" t="e">
        <f t="shared" si="5"/>
        <v>#DIV/0!</v>
      </c>
      <c r="R131" s="5" t="e">
        <f>Table3[[#This Row],[stdev(rad/s)]]/SQRT(3)</f>
        <v>#DIV/0!</v>
      </c>
      <c r="S131" s="9" t="e">
        <f>Table3[[#This Row],[stdev(rad/s)]]/AVERAGE(G131:G133)</f>
        <v>#DIV/0!</v>
      </c>
      <c r="T131" s="10" t="e">
        <f>Table3[[#This Row],[stdev(m)]]/AVERAGE(E131:E133)</f>
        <v>#DIV/0!</v>
      </c>
      <c r="U131" s="2" t="e">
        <f>(AVERAGE(E131:E133)-Table3[[#This Row],[Target Amplitude (m)]])/Table3[[#This Row],[Target Amplitude (m)]]</f>
        <v>#DIV/0!</v>
      </c>
    </row>
    <row r="132" spans="1:21" hidden="1" x14ac:dyDescent="0.45">
      <c r="A132">
        <v>31</v>
      </c>
      <c r="B132">
        <v>11</v>
      </c>
      <c r="C132">
        <f t="shared" si="6"/>
        <v>12.298000000000002</v>
      </c>
      <c r="D132">
        <v>0.01</v>
      </c>
      <c r="F132" s="6"/>
      <c r="G132" s="7"/>
      <c r="H132" s="6"/>
      <c r="I132" s="6"/>
      <c r="J132" s="1">
        <f t="shared" si="7"/>
        <v>0</v>
      </c>
      <c r="K132" s="1"/>
      <c r="L132" s="2"/>
      <c r="M132" s="1"/>
      <c r="N132" s="2"/>
      <c r="O132" s="1"/>
      <c r="P132" s="5" t="e">
        <f t="shared" si="4"/>
        <v>#DIV/0!</v>
      </c>
      <c r="Q132" t="e">
        <f t="shared" si="5"/>
        <v>#DIV/0!</v>
      </c>
      <c r="R132" s="5" t="e">
        <f>Table3[[#This Row],[stdev(rad/s)]]/SQRT(3)</f>
        <v>#DIV/0!</v>
      </c>
      <c r="S132" s="9" t="e">
        <f>Table3[[#This Row],[stdev(rad/s)]]/AVERAGE(G132:G134)</f>
        <v>#DIV/0!</v>
      </c>
      <c r="T132" s="10" t="e">
        <f>Table3[[#This Row],[stdev(m)]]/AVERAGE(E132:E134)</f>
        <v>#DIV/0!</v>
      </c>
      <c r="U132" s="2" t="e">
        <f>(AVERAGE(E132:E134)-Table3[[#This Row],[Target Amplitude (m)]])/Table3[[#This Row],[Target Amplitude (m)]]</f>
        <v>#DIV/0!</v>
      </c>
    </row>
    <row r="133" spans="1:21" hidden="1" x14ac:dyDescent="0.45">
      <c r="A133">
        <v>32</v>
      </c>
      <c r="B133">
        <v>11</v>
      </c>
      <c r="C133">
        <f t="shared" si="6"/>
        <v>12.298000000000002</v>
      </c>
      <c r="D133">
        <v>0.01</v>
      </c>
      <c r="F133" s="6"/>
      <c r="G133" s="7"/>
      <c r="H133" s="6"/>
      <c r="I133" s="6"/>
      <c r="J133" s="1">
        <f t="shared" si="7"/>
        <v>0</v>
      </c>
      <c r="K133" s="1"/>
      <c r="L133" s="2"/>
      <c r="M133" s="1"/>
      <c r="N133" s="2"/>
      <c r="O133" s="1"/>
      <c r="P133" s="5" t="e">
        <f t="shared" si="4"/>
        <v>#DIV/0!</v>
      </c>
      <c r="Q133" t="e">
        <f t="shared" si="5"/>
        <v>#DIV/0!</v>
      </c>
      <c r="R133" s="5" t="e">
        <f>Table3[[#This Row],[stdev(rad/s)]]/SQRT(3)</f>
        <v>#DIV/0!</v>
      </c>
      <c r="S133" s="9" t="e">
        <f>Table3[[#This Row],[stdev(rad/s)]]/AVERAGE(G133:G135)</f>
        <v>#DIV/0!</v>
      </c>
      <c r="T133" s="10" t="e">
        <f>Table3[[#This Row],[stdev(m)]]/AVERAGE(E133:E135)</f>
        <v>#DIV/0!</v>
      </c>
      <c r="U133" s="2" t="e">
        <f>(AVERAGE(E133:E135)-Table3[[#This Row],[Target Amplitude (m)]])/Table3[[#This Row],[Target Amplitude (m)]]</f>
        <v>#DIV/0!</v>
      </c>
    </row>
    <row r="134" spans="1:21" hidden="1" x14ac:dyDescent="0.45">
      <c r="A134">
        <v>33</v>
      </c>
      <c r="B134">
        <v>11</v>
      </c>
      <c r="C134">
        <f t="shared" si="6"/>
        <v>12.298000000000002</v>
      </c>
      <c r="D134">
        <v>0.01</v>
      </c>
      <c r="F134" s="6"/>
      <c r="G134" s="7"/>
      <c r="H134" s="6"/>
      <c r="I134" s="6"/>
      <c r="J134" s="1">
        <f t="shared" si="7"/>
        <v>0</v>
      </c>
      <c r="K134" s="1"/>
      <c r="L134" s="2"/>
      <c r="M134" s="1"/>
      <c r="N134" s="2"/>
      <c r="O134" s="1"/>
      <c r="P134" s="5" t="e">
        <f t="shared" ref="P134:P164" si="17">_xlfn.STDEV.S(G134:G136)</f>
        <v>#DIV/0!</v>
      </c>
      <c r="Q134" t="e">
        <f t="shared" ref="Q134:Q164" si="18">_xlfn.STDEV.S(E134:E136)</f>
        <v>#DIV/0!</v>
      </c>
      <c r="R134" s="5" t="e">
        <f>Table3[[#This Row],[stdev(rad/s)]]/SQRT(3)</f>
        <v>#DIV/0!</v>
      </c>
      <c r="S134" s="9" t="e">
        <f>Table3[[#This Row],[stdev(rad/s)]]/AVERAGE(G134:G136)</f>
        <v>#DIV/0!</v>
      </c>
      <c r="T134" s="10" t="e">
        <f>Table3[[#This Row],[stdev(m)]]/AVERAGE(E134:E136)</f>
        <v>#DIV/0!</v>
      </c>
      <c r="U134" s="2" t="e">
        <f>(AVERAGE(E134:E136)-Table3[[#This Row],[Target Amplitude (m)]])/Table3[[#This Row],[Target Amplitude (m)]]</f>
        <v>#DIV/0!</v>
      </c>
    </row>
    <row r="135" spans="1:21" hidden="1" x14ac:dyDescent="0.45">
      <c r="A135">
        <v>34</v>
      </c>
      <c r="B135">
        <v>12</v>
      </c>
      <c r="C135">
        <f t="shared" si="6"/>
        <v>13.416</v>
      </c>
      <c r="D135">
        <v>0.01</v>
      </c>
      <c r="F135" s="6"/>
      <c r="G135" s="7"/>
      <c r="H135" s="6"/>
      <c r="I135" s="6"/>
      <c r="J135" s="1">
        <f t="shared" si="7"/>
        <v>0</v>
      </c>
      <c r="K135" s="1"/>
      <c r="L135" s="2"/>
      <c r="M135" s="1"/>
      <c r="N135" s="2"/>
      <c r="O135" s="1"/>
      <c r="P135" s="5" t="e">
        <f t="shared" si="17"/>
        <v>#DIV/0!</v>
      </c>
      <c r="Q135" t="e">
        <f t="shared" si="18"/>
        <v>#DIV/0!</v>
      </c>
      <c r="R135" s="5" t="e">
        <f>Table3[[#This Row],[stdev(rad/s)]]/SQRT(3)</f>
        <v>#DIV/0!</v>
      </c>
      <c r="S135" s="9" t="e">
        <f>Table3[[#This Row],[stdev(rad/s)]]/AVERAGE(G135:G137)</f>
        <v>#DIV/0!</v>
      </c>
      <c r="T135" s="10" t="e">
        <f>Table3[[#This Row],[stdev(m)]]/AVERAGE(E135:E137)</f>
        <v>#DIV/0!</v>
      </c>
      <c r="U135" s="2" t="e">
        <f>(AVERAGE(E135:E137)-Table3[[#This Row],[Target Amplitude (m)]])/Table3[[#This Row],[Target Amplitude (m)]]</f>
        <v>#DIV/0!</v>
      </c>
    </row>
    <row r="136" spans="1:21" hidden="1" x14ac:dyDescent="0.45">
      <c r="A136">
        <v>35</v>
      </c>
      <c r="B136">
        <v>12</v>
      </c>
      <c r="C136">
        <f t="shared" si="6"/>
        <v>13.416</v>
      </c>
      <c r="D136">
        <v>0.01</v>
      </c>
      <c r="F136" s="6"/>
      <c r="G136" s="7"/>
      <c r="H136" s="6"/>
      <c r="I136" s="6"/>
      <c r="J136" s="1">
        <f t="shared" si="7"/>
        <v>0</v>
      </c>
      <c r="K136" s="1"/>
      <c r="L136" s="2"/>
      <c r="M136" s="1"/>
      <c r="N136" s="2"/>
      <c r="O136" s="1"/>
      <c r="P136" s="5" t="e">
        <f t="shared" si="17"/>
        <v>#DIV/0!</v>
      </c>
      <c r="Q136" t="e">
        <f t="shared" si="18"/>
        <v>#DIV/0!</v>
      </c>
      <c r="R136" s="5" t="e">
        <f>Table3[[#This Row],[stdev(rad/s)]]/SQRT(3)</f>
        <v>#DIV/0!</v>
      </c>
      <c r="S136" s="9" t="e">
        <f>Table3[[#This Row],[stdev(rad/s)]]/AVERAGE(G136:G138)</f>
        <v>#DIV/0!</v>
      </c>
      <c r="T136" s="10" t="e">
        <f>Table3[[#This Row],[stdev(m)]]/AVERAGE(E136:E138)</f>
        <v>#DIV/0!</v>
      </c>
      <c r="U136" s="2" t="e">
        <f>(AVERAGE(E136:E138)-Table3[[#This Row],[Target Amplitude (m)]])/Table3[[#This Row],[Target Amplitude (m)]]</f>
        <v>#DIV/0!</v>
      </c>
    </row>
    <row r="137" spans="1:21" hidden="1" x14ac:dyDescent="0.45">
      <c r="A137">
        <v>36</v>
      </c>
      <c r="B137">
        <v>12</v>
      </c>
      <c r="C137">
        <f t="shared" si="6"/>
        <v>13.416</v>
      </c>
      <c r="D137">
        <v>0.01</v>
      </c>
      <c r="F137" s="6"/>
      <c r="G137" s="7"/>
      <c r="H137" s="6"/>
      <c r="I137" s="6"/>
      <c r="J137" s="1">
        <f t="shared" si="7"/>
        <v>0</v>
      </c>
      <c r="K137" s="1"/>
      <c r="L137" s="2"/>
      <c r="M137" s="1"/>
      <c r="N137" s="2"/>
      <c r="O137" s="1"/>
      <c r="P137" s="5" t="e">
        <f t="shared" si="17"/>
        <v>#DIV/0!</v>
      </c>
      <c r="Q137" t="e">
        <f t="shared" si="18"/>
        <v>#DIV/0!</v>
      </c>
      <c r="R137" s="5" t="e">
        <f>Table3[[#This Row],[stdev(rad/s)]]/SQRT(3)</f>
        <v>#DIV/0!</v>
      </c>
      <c r="S137" s="9" t="e">
        <f>Table3[[#This Row],[stdev(rad/s)]]/AVERAGE(G137:G139)</f>
        <v>#DIV/0!</v>
      </c>
      <c r="T137" s="10" t="e">
        <f>Table3[[#This Row],[stdev(m)]]/AVERAGE(E137:E139)</f>
        <v>#DIV/0!</v>
      </c>
      <c r="U137" s="2" t="e">
        <f>(AVERAGE(E137:E139)-Table3[[#This Row],[Target Amplitude (m)]])/Table3[[#This Row],[Target Amplitude (m)]]</f>
        <v>#DIV/0!</v>
      </c>
    </row>
    <row r="138" spans="1:21" hidden="1" x14ac:dyDescent="0.45">
      <c r="A138">
        <v>37</v>
      </c>
      <c r="B138">
        <v>15</v>
      </c>
      <c r="C138">
        <f t="shared" si="6"/>
        <v>16.770000000000003</v>
      </c>
      <c r="D138">
        <v>0.01</v>
      </c>
      <c r="F138" s="6"/>
      <c r="G138" s="7"/>
      <c r="H138" s="6"/>
      <c r="I138" s="6"/>
      <c r="J138" s="1">
        <f t="shared" si="7"/>
        <v>0</v>
      </c>
      <c r="K138" s="1"/>
      <c r="L138" s="2"/>
      <c r="M138" s="1"/>
      <c r="N138" s="2"/>
      <c r="O138" s="1"/>
      <c r="P138" s="5" t="e">
        <f t="shared" si="17"/>
        <v>#DIV/0!</v>
      </c>
      <c r="Q138" t="e">
        <f t="shared" si="18"/>
        <v>#DIV/0!</v>
      </c>
      <c r="R138" s="5" t="e">
        <f>Table3[[#This Row],[stdev(rad/s)]]/SQRT(3)</f>
        <v>#DIV/0!</v>
      </c>
      <c r="S138" s="9" t="e">
        <f>Table3[[#This Row],[stdev(rad/s)]]/AVERAGE(G138:G140)</f>
        <v>#DIV/0!</v>
      </c>
      <c r="T138" s="10" t="e">
        <f>Table3[[#This Row],[stdev(m)]]/AVERAGE(E138:E140)</f>
        <v>#DIV/0!</v>
      </c>
      <c r="U138" s="2" t="e">
        <f>(AVERAGE(E138:E140)-Table3[[#This Row],[Target Amplitude (m)]])/Table3[[#This Row],[Target Amplitude (m)]]</f>
        <v>#DIV/0!</v>
      </c>
    </row>
    <row r="139" spans="1:21" hidden="1" x14ac:dyDescent="0.45">
      <c r="A139">
        <v>38</v>
      </c>
      <c r="B139">
        <v>15</v>
      </c>
      <c r="C139">
        <f t="shared" si="6"/>
        <v>16.770000000000003</v>
      </c>
      <c r="D139">
        <v>0.01</v>
      </c>
      <c r="F139" s="6"/>
      <c r="G139" s="7"/>
      <c r="H139" s="6"/>
      <c r="I139" s="6"/>
      <c r="J139" s="1">
        <f t="shared" si="7"/>
        <v>0</v>
      </c>
      <c r="K139" s="1"/>
      <c r="L139" s="2"/>
      <c r="M139" s="1"/>
      <c r="N139" s="2"/>
      <c r="O139" s="1"/>
      <c r="P139" s="5" t="e">
        <f t="shared" si="17"/>
        <v>#DIV/0!</v>
      </c>
      <c r="Q139" t="e">
        <f t="shared" si="18"/>
        <v>#DIV/0!</v>
      </c>
      <c r="R139" s="5" t="e">
        <f>Table3[[#This Row],[stdev(rad/s)]]/SQRT(3)</f>
        <v>#DIV/0!</v>
      </c>
      <c r="S139" s="9" t="e">
        <f>Table3[[#This Row],[stdev(rad/s)]]/AVERAGE(G139:G141)</f>
        <v>#DIV/0!</v>
      </c>
      <c r="T139" s="10" t="e">
        <f>Table3[[#This Row],[stdev(m)]]/AVERAGE(E139:E141)</f>
        <v>#DIV/0!</v>
      </c>
      <c r="U139" s="2">
        <f>(AVERAGE(E139:E141)-Table3[[#This Row],[Target Amplitude (m)]])/Table3[[#This Row],[Target Amplitude (m)]]</f>
        <v>-0.31404300000000002</v>
      </c>
    </row>
    <row r="140" spans="1:21" hidden="1" x14ac:dyDescent="0.45">
      <c r="A140">
        <v>39</v>
      </c>
      <c r="B140">
        <v>15</v>
      </c>
      <c r="C140">
        <f t="shared" si="6"/>
        <v>16.770000000000003</v>
      </c>
      <c r="D140">
        <v>0.01</v>
      </c>
      <c r="F140" s="6"/>
      <c r="G140" s="7"/>
      <c r="H140" s="6"/>
      <c r="I140" s="6"/>
      <c r="J140" s="1">
        <f t="shared" si="7"/>
        <v>0</v>
      </c>
      <c r="K140" s="1"/>
      <c r="L140" s="2"/>
      <c r="M140" s="1"/>
      <c r="N140" s="2"/>
      <c r="O140" s="1"/>
      <c r="P140" s="5">
        <f t="shared" si="17"/>
        <v>1.4142135623697991E-4</v>
      </c>
      <c r="Q140">
        <f t="shared" si="18"/>
        <v>5.403568600471357E-4</v>
      </c>
      <c r="R140" s="5">
        <f>Table3[[#This Row],[stdev(rad/s)]]/SQRT(3)</f>
        <v>8.1649658092582318E-5</v>
      </c>
      <c r="S140" s="9">
        <f>Table3[[#This Row],[stdev(rad/s)]]/AVERAGE(G140:G142)</f>
        <v>2.8126817324016139E-6</v>
      </c>
      <c r="T140" s="10">
        <f>Table3[[#This Row],[stdev(m)]]/AVERAGE(E140:E142)</f>
        <v>8.3420845768282681E-2</v>
      </c>
      <c r="U140" s="2">
        <f>(AVERAGE(E140:E142)-Table3[[#This Row],[Target Amplitude (m)]])/Table3[[#This Row],[Target Amplitude (m)]]</f>
        <v>-0.35225200000000001</v>
      </c>
    </row>
    <row r="141" spans="1:21" x14ac:dyDescent="0.45">
      <c r="A141">
        <v>40</v>
      </c>
      <c r="B141">
        <v>7</v>
      </c>
      <c r="C141">
        <f t="shared" si="6"/>
        <v>7.8260000000000005</v>
      </c>
      <c r="D141">
        <v>8.0000000000000002E-3</v>
      </c>
      <c r="E141">
        <v>6.8595699999999997E-3</v>
      </c>
      <c r="F141" s="6">
        <v>1.1999999999999999E-6</v>
      </c>
      <c r="G141" s="7">
        <v>50.279800000000002</v>
      </c>
      <c r="H141" s="6">
        <v>6.8999999999999997E-5</v>
      </c>
      <c r="I141" s="6"/>
      <c r="J141" s="1">
        <f t="shared" si="7"/>
        <v>8.0022815689999991</v>
      </c>
      <c r="K141" s="1">
        <f t="shared" ref="K141" si="19">J141-B141</f>
        <v>1.0022815689999991</v>
      </c>
      <c r="L141" s="2">
        <f t="shared" ref="L141:L171" si="20">K141/B141</f>
        <v>0.14318308128571416</v>
      </c>
      <c r="M141" s="1">
        <f t="shared" ref="M141:M171" si="21">J141-C141</f>
        <v>0.17628156899999858</v>
      </c>
      <c r="N141" s="2">
        <f t="shared" ref="N141:N171" si="22">M141/C141</f>
        <v>2.2525117429082364E-2</v>
      </c>
      <c r="O141" s="1"/>
      <c r="P141" s="5">
        <f t="shared" si="17"/>
        <v>6.429100507313653E-4</v>
      </c>
      <c r="Q141">
        <f t="shared" si="18"/>
        <v>4.0156244259143545E-4</v>
      </c>
      <c r="R141" s="5">
        <f>Table3[[#This Row],[stdev(rad/s)]]/SQRT(3)</f>
        <v>3.7118429085446973E-4</v>
      </c>
      <c r="S141" s="9">
        <f>Table3[[#This Row],[stdev(rad/s)]]/AVERAGE(G141:G143)</f>
        <v>1.2786528261545257E-5</v>
      </c>
      <c r="T141" s="10">
        <f>Table3[[#This Row],[stdev(m)]]/AVERAGE(E141:E143)</f>
        <v>6.1318477063192559E-2</v>
      </c>
      <c r="U141" s="2">
        <f>(AVERAGE(E141:E143)-Table3[[#This Row],[Target Amplitude (m)]])/Table3[[#This Row],[Target Amplitude (m)]]</f>
        <v>-0.18139999999999995</v>
      </c>
    </row>
    <row r="142" spans="1:21" x14ac:dyDescent="0.45">
      <c r="A142">
        <v>41</v>
      </c>
      <c r="B142">
        <v>7</v>
      </c>
      <c r="C142">
        <f t="shared" si="6"/>
        <v>7.8260000000000005</v>
      </c>
      <c r="D142">
        <v>8.0000000000000002E-3</v>
      </c>
      <c r="E142">
        <v>6.09539E-3</v>
      </c>
      <c r="F142" s="6">
        <v>1.4E-5</v>
      </c>
      <c r="G142" s="7">
        <v>50.28</v>
      </c>
      <c r="H142" s="6">
        <v>710000</v>
      </c>
      <c r="I142" s="6"/>
      <c r="J142" s="1">
        <f t="shared" si="7"/>
        <v>8.0023134000000002</v>
      </c>
      <c r="K142" s="1">
        <f t="shared" ref="K142" si="23">J142-B142</f>
        <v>1.0023134000000002</v>
      </c>
      <c r="L142" s="2">
        <f t="shared" si="20"/>
        <v>0.14318762857142861</v>
      </c>
      <c r="M142" s="1">
        <f t="shared" si="21"/>
        <v>0.17631339999999973</v>
      </c>
      <c r="N142" s="2">
        <f t="shared" si="22"/>
        <v>2.2529184768719616E-2</v>
      </c>
      <c r="O142" s="1"/>
      <c r="R142" s="5"/>
      <c r="S142" s="9"/>
      <c r="T142" s="10"/>
      <c r="U142" s="2"/>
    </row>
    <row r="143" spans="1:21" x14ac:dyDescent="0.45">
      <c r="A143">
        <v>42</v>
      </c>
      <c r="B143">
        <v>7</v>
      </c>
      <c r="C143">
        <f t="shared" si="6"/>
        <v>7.8260000000000005</v>
      </c>
      <c r="D143">
        <v>8.0000000000000002E-3</v>
      </c>
      <c r="E143">
        <v>6.6914399999999999E-3</v>
      </c>
      <c r="F143" s="6">
        <v>1.8E-5</v>
      </c>
      <c r="G143" s="7">
        <v>50.280999999999999</v>
      </c>
      <c r="H143" s="6">
        <v>6.8999999999999997E-5</v>
      </c>
      <c r="I143" s="6"/>
      <c r="J143" s="1">
        <f t="shared" si="7"/>
        <v>8.0024725549999989</v>
      </c>
      <c r="K143" s="1">
        <f t="shared" si="8"/>
        <v>1.0024725549999989</v>
      </c>
      <c r="L143" s="2">
        <f t="shared" si="20"/>
        <v>0.14321036499999984</v>
      </c>
      <c r="M143" s="1">
        <f t="shared" si="21"/>
        <v>0.17647255499999837</v>
      </c>
      <c r="N143" s="2">
        <f t="shared" si="22"/>
        <v>2.2549521466904976E-2</v>
      </c>
      <c r="O143" s="1"/>
      <c r="R143" s="5"/>
      <c r="S143" s="9"/>
      <c r="T143" s="10"/>
      <c r="U143" s="2"/>
    </row>
    <row r="144" spans="1:21" x14ac:dyDescent="0.45">
      <c r="A144">
        <v>43</v>
      </c>
      <c r="B144">
        <v>8</v>
      </c>
      <c r="C144">
        <f t="shared" si="6"/>
        <v>8.9440000000000008</v>
      </c>
      <c r="D144">
        <v>8.0000000000000002E-3</v>
      </c>
      <c r="E144">
        <v>6.7316499999999996E-3</v>
      </c>
      <c r="F144" s="6">
        <v>1.5999999999999999E-5</v>
      </c>
      <c r="G144" s="7">
        <v>55.689799999999998</v>
      </c>
      <c r="H144" s="6">
        <v>6.8999999999999997E-5</v>
      </c>
      <c r="I144" s="6"/>
      <c r="J144" s="1">
        <f t="shared" si="7"/>
        <v>8.8633101189999994</v>
      </c>
      <c r="K144" s="1">
        <f t="shared" si="8"/>
        <v>0.86331011899999943</v>
      </c>
      <c r="L144" s="2">
        <f t="shared" si="20"/>
        <v>0.10791376487499993</v>
      </c>
      <c r="M144" s="1">
        <f t="shared" si="21"/>
        <v>-8.0689881000001407E-2</v>
      </c>
      <c r="N144" s="2">
        <f t="shared" si="22"/>
        <v>-9.0216772137747536E-3</v>
      </c>
      <c r="O144" s="1"/>
      <c r="P144" s="5">
        <f t="shared" si="17"/>
        <v>1.6653327995730073E-3</v>
      </c>
      <c r="Q144">
        <f t="shared" si="18"/>
        <v>8.172831426745572E-4</v>
      </c>
      <c r="R144" s="5">
        <f>Table3[[#This Row],[stdev(rad/s)]]/SQRT(3)</f>
        <v>9.6148034012378885E-4</v>
      </c>
      <c r="S144" s="9">
        <f>Table3[[#This Row],[stdev(rad/s)]]/AVERAGE(G144:G146)</f>
        <v>2.9904733393583903E-5</v>
      </c>
      <c r="T144" s="10">
        <f>Table3[[#This Row],[stdev(m)]]/AVERAGE(E144:E146)</f>
        <v>0.1065084679007843</v>
      </c>
      <c r="U144" s="2">
        <f>(AVERAGE(E144:E146)-Table3[[#This Row],[Target Amplitude (m)]])/Table3[[#This Row],[Target Amplitude (m)]]</f>
        <v>-4.0823750000000089E-2</v>
      </c>
    </row>
    <row r="145" spans="1:21" x14ac:dyDescent="0.45">
      <c r="A145">
        <v>44</v>
      </c>
      <c r="B145">
        <v>8</v>
      </c>
      <c r="C145">
        <f t="shared" si="6"/>
        <v>8.9440000000000008</v>
      </c>
      <c r="D145">
        <v>8.0000000000000002E-3</v>
      </c>
      <c r="E145">
        <v>8.0916800000000004E-3</v>
      </c>
      <c r="F145" s="6">
        <v>2.4000000000000001E-5</v>
      </c>
      <c r="G145" s="7">
        <v>55.687399999999997</v>
      </c>
      <c r="H145" s="6">
        <v>6.6000000000000005E-5</v>
      </c>
      <c r="I145" s="6"/>
      <c r="J145" s="1">
        <f t="shared" si="7"/>
        <v>8.8629281469999981</v>
      </c>
      <c r="K145" s="1">
        <f t="shared" ref="K145" si="24">J145-B145</f>
        <v>0.86292814699999809</v>
      </c>
      <c r="L145" s="2">
        <f t="shared" si="20"/>
        <v>0.10786601837499976</v>
      </c>
      <c r="M145" s="1">
        <f t="shared" si="21"/>
        <v>-8.1071853000002747E-2</v>
      </c>
      <c r="N145" s="2">
        <f t="shared" si="22"/>
        <v>-9.064384279964529E-3</v>
      </c>
      <c r="O145" s="1"/>
      <c r="R145" s="5"/>
      <c r="S145" s="9"/>
      <c r="T145" s="10"/>
      <c r="U145" s="2"/>
    </row>
    <row r="146" spans="1:21" x14ac:dyDescent="0.45">
      <c r="A146">
        <v>45</v>
      </c>
      <c r="B146">
        <v>8</v>
      </c>
      <c r="C146">
        <f t="shared" si="6"/>
        <v>8.9440000000000008</v>
      </c>
      <c r="D146">
        <v>8.0000000000000002E-3</v>
      </c>
      <c r="E146">
        <v>8.1969E-3</v>
      </c>
      <c r="F146" s="6">
        <v>2.3E-5</v>
      </c>
      <c r="G146" s="7">
        <v>55.686599999999999</v>
      </c>
      <c r="H146" s="6">
        <v>6.6000000000000005E-5</v>
      </c>
      <c r="I146" s="6"/>
      <c r="J146" s="1">
        <f t="shared" si="7"/>
        <v>8.8628008229999988</v>
      </c>
      <c r="K146" s="1">
        <f t="shared" si="8"/>
        <v>0.86280082299999883</v>
      </c>
      <c r="L146" s="2">
        <f t="shared" si="20"/>
        <v>0.10785010287499985</v>
      </c>
      <c r="M146" s="1">
        <f t="shared" si="21"/>
        <v>-8.119917700000201E-2</v>
      </c>
      <c r="N146" s="2">
        <f t="shared" si="22"/>
        <v>-9.0786199686943205E-3</v>
      </c>
      <c r="O146" s="1"/>
      <c r="R146" s="5"/>
      <c r="S146" s="9"/>
      <c r="T146" s="10"/>
      <c r="U146" s="2"/>
    </row>
    <row r="147" spans="1:21" x14ac:dyDescent="0.45">
      <c r="A147">
        <v>46</v>
      </c>
      <c r="B147">
        <v>9</v>
      </c>
      <c r="C147">
        <f t="shared" si="6"/>
        <v>10.062000000000001</v>
      </c>
      <c r="D147">
        <v>8.0000000000000002E-3</v>
      </c>
      <c r="E147">
        <v>1.1753100000000001E-2</v>
      </c>
      <c r="F147" s="6">
        <v>3.1999999999999999E-5</v>
      </c>
      <c r="G147" s="7">
        <v>60.139000000000003</v>
      </c>
      <c r="H147" s="6">
        <v>6.3999999999999997E-5</v>
      </c>
      <c r="I147" s="6"/>
      <c r="J147" s="1">
        <f t="shared" si="7"/>
        <v>9.5714225450000008</v>
      </c>
      <c r="K147" s="1">
        <f t="shared" si="8"/>
        <v>0.57142254500000078</v>
      </c>
      <c r="L147" s="2">
        <f t="shared" si="20"/>
        <v>6.349139388888897E-2</v>
      </c>
      <c r="M147" s="1">
        <f t="shared" si="21"/>
        <v>-0.49057745500000038</v>
      </c>
      <c r="N147" s="2">
        <f t="shared" si="22"/>
        <v>-4.8755461637845394E-2</v>
      </c>
      <c r="O147" s="1"/>
      <c r="P147" s="5">
        <f t="shared" si="17"/>
        <v>5.7735026920879184E-5</v>
      </c>
      <c r="Q147">
        <f t="shared" si="18"/>
        <v>2.325529851453212E-3</v>
      </c>
      <c r="R147" s="5">
        <f>Table3[[#This Row],[stdev(rad/s)]]/SQRT(3)</f>
        <v>3.3333333334439892E-5</v>
      </c>
      <c r="S147" s="9">
        <f>Table3[[#This Row],[stdev(rad/s)]]/AVERAGE(G147:G149)</f>
        <v>9.600274517818604E-7</v>
      </c>
      <c r="T147" s="10">
        <f>Table3[[#This Row],[stdev(m)]]/AVERAGE(E147:E149)</f>
        <v>0.16151307447030308</v>
      </c>
      <c r="U147" s="2">
        <f>(AVERAGE(E147:E149)-Table3[[#This Row],[Target Amplitude (m)]])/Table3[[#This Row],[Target Amplitude (m)]]</f>
        <v>0.79980000000000007</v>
      </c>
    </row>
    <row r="148" spans="1:21" x14ac:dyDescent="0.45">
      <c r="A148">
        <v>47</v>
      </c>
      <c r="B148">
        <v>9</v>
      </c>
      <c r="C148">
        <f t="shared" si="6"/>
        <v>10.062000000000001</v>
      </c>
      <c r="D148">
        <v>8.0000000000000002E-3</v>
      </c>
      <c r="E148">
        <v>1.6120900000000001E-2</v>
      </c>
      <c r="F148" s="6">
        <v>3.1999999999999999E-5</v>
      </c>
      <c r="G148" s="7">
        <v>60.1389</v>
      </c>
      <c r="H148" s="6">
        <v>5.5000000000000002E-5</v>
      </c>
      <c r="I148" s="6"/>
      <c r="J148" s="1">
        <f t="shared" si="7"/>
        <v>9.5714066295000002</v>
      </c>
      <c r="K148" s="1">
        <f t="shared" ref="K148" si="25">J148-B148</f>
        <v>0.57140662950000021</v>
      </c>
      <c r="L148" s="2">
        <f t="shared" si="20"/>
        <v>6.3489625500000021E-2</v>
      </c>
      <c r="M148" s="1">
        <f t="shared" si="21"/>
        <v>-0.49059337050000096</v>
      </c>
      <c r="N148" s="2">
        <f t="shared" si="22"/>
        <v>-4.875704338103766E-2</v>
      </c>
      <c r="O148" s="1"/>
      <c r="R148" s="5"/>
      <c r="S148" s="9"/>
      <c r="T148" s="10"/>
      <c r="U148" s="2"/>
    </row>
    <row r="149" spans="1:21" x14ac:dyDescent="0.45">
      <c r="A149">
        <v>48</v>
      </c>
      <c r="B149">
        <v>9</v>
      </c>
      <c r="C149">
        <f t="shared" si="6"/>
        <v>10.062000000000001</v>
      </c>
      <c r="D149">
        <v>8.0000000000000002E-3</v>
      </c>
      <c r="E149">
        <v>1.53212E-2</v>
      </c>
      <c r="F149" s="6">
        <v>2.6999999999999999E-5</v>
      </c>
      <c r="G149" s="7">
        <v>60.1389</v>
      </c>
      <c r="H149" s="6">
        <v>6.0999999999999999E-5</v>
      </c>
      <c r="I149" s="6"/>
      <c r="J149" s="1">
        <f t="shared" si="7"/>
        <v>9.5714066295000002</v>
      </c>
      <c r="K149" s="1">
        <f t="shared" si="8"/>
        <v>0.57140662950000021</v>
      </c>
      <c r="L149" s="2">
        <f t="shared" si="20"/>
        <v>6.3489625500000021E-2</v>
      </c>
      <c r="M149" s="1">
        <f t="shared" si="21"/>
        <v>-0.49059337050000096</v>
      </c>
      <c r="N149" s="2">
        <f t="shared" si="22"/>
        <v>-4.875704338103766E-2</v>
      </c>
      <c r="O149" s="1"/>
      <c r="R149" s="5"/>
      <c r="S149" s="9"/>
      <c r="T149" s="10"/>
      <c r="U149" s="2"/>
    </row>
    <row r="150" spans="1:21" x14ac:dyDescent="0.45">
      <c r="A150">
        <v>49</v>
      </c>
      <c r="B150">
        <v>10</v>
      </c>
      <c r="C150">
        <f t="shared" si="6"/>
        <v>11.180000000000001</v>
      </c>
      <c r="D150">
        <v>8.0000000000000002E-3</v>
      </c>
      <c r="E150" s="11">
        <v>7.5022999999999999E-3</v>
      </c>
      <c r="F150" s="6">
        <v>4.1999999999999998E-5</v>
      </c>
      <c r="G150" s="7">
        <v>63.584400000000002</v>
      </c>
      <c r="H150" s="6">
        <v>3.4000000000000002E-4</v>
      </c>
      <c r="I150" s="6"/>
      <c r="J150" s="1">
        <f t="shared" si="7"/>
        <v>10.119775182</v>
      </c>
      <c r="K150" s="1">
        <f t="shared" si="8"/>
        <v>0.1197751819999997</v>
      </c>
      <c r="L150" s="2">
        <f t="shared" si="20"/>
        <v>1.1977518199999971E-2</v>
      </c>
      <c r="M150" s="1">
        <f t="shared" si="21"/>
        <v>-1.0602248180000018</v>
      </c>
      <c r="N150" s="2">
        <f t="shared" si="22"/>
        <v>-9.4832273524150412E-2</v>
      </c>
      <c r="O150" s="1"/>
      <c r="P150" s="5">
        <f t="shared" si="17"/>
        <v>3.9999999999906777E-4</v>
      </c>
      <c r="Q150">
        <f t="shared" si="18"/>
        <v>5.4429558822236762E-3</v>
      </c>
      <c r="R150" s="5">
        <f>Table3[[#This Row],[stdev(rad/s)]]/SQRT(3)</f>
        <v>2.3094010767531209E-4</v>
      </c>
      <c r="S150" s="9">
        <f>Table3[[#This Row],[stdev(rad/s)]]/AVERAGE(G150:G152)</f>
        <v>6.2908116405031984E-6</v>
      </c>
      <c r="T150" s="10">
        <f>Table3[[#This Row],[stdev(m)]]/AVERAGE(E150:E152)</f>
        <v>0.56274324985813362</v>
      </c>
      <c r="U150" s="2">
        <f>(AVERAGE(E150:E152)-Table3[[#This Row],[Target Amplitude (m)]])/Table3[[#This Row],[Target Amplitude (m)]]</f>
        <v>0.20902291666666672</v>
      </c>
    </row>
    <row r="151" spans="1:21" x14ac:dyDescent="0.45">
      <c r="A151">
        <v>50</v>
      </c>
      <c r="B151">
        <v>10</v>
      </c>
      <c r="C151">
        <f t="shared" si="6"/>
        <v>11.180000000000001</v>
      </c>
      <c r="D151">
        <v>8.0000000000000002E-3</v>
      </c>
      <c r="E151" s="11">
        <v>1.5865400000000002E-2</v>
      </c>
      <c r="F151" s="6">
        <v>2.7E-4</v>
      </c>
      <c r="G151" s="7">
        <v>63.584800000000001</v>
      </c>
      <c r="H151" s="6">
        <v>4.1000000000000003E-3</v>
      </c>
      <c r="I151" s="6"/>
      <c r="J151" s="1">
        <f t="shared" si="7"/>
        <v>10.119838844</v>
      </c>
      <c r="K151" s="1">
        <f t="shared" ref="K151" si="26">J151-B151</f>
        <v>0.11983884400000022</v>
      </c>
      <c r="L151" s="2">
        <f t="shared" si="20"/>
        <v>1.1983884400000023E-2</v>
      </c>
      <c r="M151" s="1">
        <f t="shared" si="21"/>
        <v>-1.0601611560000013</v>
      </c>
      <c r="N151" s="2">
        <f t="shared" si="22"/>
        <v>-9.4826579248658421E-2</v>
      </c>
      <c r="O151" s="1"/>
      <c r="R151" s="5"/>
      <c r="S151" s="9"/>
      <c r="T151" s="10"/>
      <c r="U151" s="2"/>
    </row>
    <row r="152" spans="1:21" x14ac:dyDescent="0.45">
      <c r="A152">
        <v>51</v>
      </c>
      <c r="B152">
        <v>10</v>
      </c>
      <c r="C152">
        <f t="shared" si="6"/>
        <v>11.180000000000001</v>
      </c>
      <c r="D152">
        <v>8.0000000000000002E-3</v>
      </c>
      <c r="E152" s="11">
        <v>5.6488500000000004E-3</v>
      </c>
      <c r="F152" s="6">
        <v>4.6999999999999997E-5</v>
      </c>
      <c r="G152" s="7">
        <v>63.5852</v>
      </c>
      <c r="H152" s="6">
        <v>1.1000000000000001E-3</v>
      </c>
      <c r="I152" s="6"/>
      <c r="J152" s="1">
        <f t="shared" si="7"/>
        <v>10.119902505999999</v>
      </c>
      <c r="K152" s="1">
        <f t="shared" si="8"/>
        <v>0.11990250599999897</v>
      </c>
      <c r="L152" s="2">
        <f t="shared" si="20"/>
        <v>1.1990250599999896E-2</v>
      </c>
      <c r="M152" s="1">
        <f t="shared" si="21"/>
        <v>-1.0600974940000025</v>
      </c>
      <c r="N152" s="2">
        <f t="shared" si="22"/>
        <v>-9.4820884973166583E-2</v>
      </c>
      <c r="O152" s="1"/>
      <c r="R152" s="5"/>
      <c r="S152" s="9"/>
      <c r="T152" s="10"/>
      <c r="U152" s="2"/>
    </row>
    <row r="153" spans="1:21" ht="13.5" customHeight="1" x14ac:dyDescent="0.45">
      <c r="A153">
        <v>52</v>
      </c>
      <c r="B153">
        <v>11</v>
      </c>
      <c r="C153">
        <f t="shared" si="6"/>
        <v>12.298000000000002</v>
      </c>
      <c r="D153">
        <v>8.0000000000000002E-3</v>
      </c>
      <c r="E153" s="11">
        <v>1.6468199999999999E-2</v>
      </c>
      <c r="F153" s="6">
        <v>9.2999999999999997E-5</v>
      </c>
      <c r="G153" s="7">
        <v>66.482799999999997</v>
      </c>
      <c r="H153" s="6">
        <v>3.5E-4</v>
      </c>
      <c r="I153" s="6"/>
      <c r="J153" s="1">
        <f t="shared" si="7"/>
        <v>10.581070034</v>
      </c>
      <c r="K153" s="1">
        <f t="shared" si="8"/>
        <v>-0.41892996600000032</v>
      </c>
      <c r="L153" s="2">
        <f t="shared" si="20"/>
        <v>-3.8084542363636391E-2</v>
      </c>
      <c r="M153" s="1">
        <f t="shared" si="21"/>
        <v>-1.7169299660000021</v>
      </c>
      <c r="N153" s="2">
        <f t="shared" si="22"/>
        <v>-0.13961050300861944</v>
      </c>
      <c r="O153" s="1"/>
      <c r="P153" s="5">
        <f t="shared" si="17"/>
        <v>9.5393920141286024E-4</v>
      </c>
      <c r="Q153">
        <f t="shared" si="18"/>
        <v>4.9692361478735677E-3</v>
      </c>
      <c r="R153" s="5">
        <f>Table3[[#This Row],[stdev(rad/s)]]/SQRT(3)</f>
        <v>5.5075705472625155E-4</v>
      </c>
      <c r="S153" s="9">
        <f>Table3[[#This Row],[stdev(rad/s)]]/AVERAGE(G153:G155)</f>
        <v>1.434885587525116E-5</v>
      </c>
      <c r="T153" s="10">
        <f>Table3[[#This Row],[stdev(m)]]/AVERAGE(E153:E155)</f>
        <v>0.25083048325723761</v>
      </c>
      <c r="U153" s="2">
        <f>(AVERAGE(E153:E155)-Table3[[#This Row],[Target Amplitude (m)]])/Table3[[#This Row],[Target Amplitude (m)]]</f>
        <v>1.4763916666666663</v>
      </c>
    </row>
    <row r="154" spans="1:21" ht="13.5" customHeight="1" x14ac:dyDescent="0.45">
      <c r="A154">
        <v>53</v>
      </c>
      <c r="B154">
        <v>11</v>
      </c>
      <c r="C154">
        <f t="shared" si="6"/>
        <v>12.298000000000002</v>
      </c>
      <c r="D154">
        <v>8.0000000000000002E-3</v>
      </c>
      <c r="E154" s="11">
        <v>1.7443799999999999E-2</v>
      </c>
      <c r="F154" s="6">
        <v>1E-4</v>
      </c>
      <c r="G154" s="7">
        <v>66.480900000000005</v>
      </c>
      <c r="H154" s="6">
        <v>4.4999999999999999E-4</v>
      </c>
      <c r="I154" s="6"/>
      <c r="J154" s="1">
        <f t="shared" si="7"/>
        <v>10.580767639499999</v>
      </c>
      <c r="K154" s="1">
        <f t="shared" ref="K154" si="27">J154-B154</f>
        <v>-0.41923236050000057</v>
      </c>
      <c r="L154" s="2">
        <f t="shared" si="20"/>
        <v>-3.8112032772727324E-2</v>
      </c>
      <c r="M154" s="1">
        <f t="shared" si="21"/>
        <v>-1.7172323605000024</v>
      </c>
      <c r="N154" s="2">
        <f t="shared" si="22"/>
        <v>-0.13963509192551651</v>
      </c>
      <c r="O154" s="1"/>
      <c r="R154" s="5"/>
      <c r="S154" s="9"/>
      <c r="T154" s="10"/>
      <c r="U154" s="2"/>
    </row>
    <row r="155" spans="1:21" ht="13.5" customHeight="1" x14ac:dyDescent="0.45">
      <c r="A155">
        <v>54</v>
      </c>
      <c r="B155">
        <v>11</v>
      </c>
      <c r="C155">
        <f t="shared" si="6"/>
        <v>12.298000000000002</v>
      </c>
      <c r="D155">
        <v>8.0000000000000002E-3</v>
      </c>
      <c r="E155" s="11">
        <v>2.55214E-2</v>
      </c>
      <c r="F155" s="6">
        <v>1.2E-4</v>
      </c>
      <c r="G155" s="7">
        <v>66.481999999999999</v>
      </c>
      <c r="H155" s="6">
        <v>3.6000000000000002E-4</v>
      </c>
      <c r="I155" s="6"/>
      <c r="J155" s="1">
        <f t="shared" si="7"/>
        <v>10.580942709999999</v>
      </c>
      <c r="K155" s="1">
        <f t="shared" si="8"/>
        <v>-0.41905729000000136</v>
      </c>
      <c r="L155" s="2">
        <f t="shared" si="20"/>
        <v>-3.8096117272727395E-2</v>
      </c>
      <c r="M155" s="1">
        <f t="shared" si="21"/>
        <v>-1.7170572900000032</v>
      </c>
      <c r="N155" s="2">
        <f t="shared" si="22"/>
        <v>-0.13962085623678672</v>
      </c>
      <c r="O155" s="1"/>
      <c r="R155" s="5"/>
      <c r="S155" s="9"/>
      <c r="T155" s="10"/>
      <c r="U155" s="2"/>
    </row>
    <row r="156" spans="1:21" x14ac:dyDescent="0.45">
      <c r="A156">
        <v>55</v>
      </c>
      <c r="B156">
        <v>12</v>
      </c>
      <c r="C156">
        <f t="shared" si="6"/>
        <v>13.416</v>
      </c>
      <c r="D156">
        <v>8.0000000000000002E-3</v>
      </c>
      <c r="E156" s="11">
        <v>3.3899999999999998E-3</v>
      </c>
      <c r="F156" s="6">
        <v>9.7999999999999997E-5</v>
      </c>
      <c r="G156" s="7">
        <v>68.783000000000001</v>
      </c>
      <c r="H156" s="6">
        <v>4.1000000000000003E-3</v>
      </c>
      <c r="I156" s="6"/>
      <c r="J156" s="1">
        <f t="shared" si="7"/>
        <v>10.947158365</v>
      </c>
      <c r="K156" s="1">
        <f t="shared" si="8"/>
        <v>-1.0528416350000001</v>
      </c>
      <c r="L156" s="2">
        <f t="shared" si="20"/>
        <v>-8.7736802916666676E-2</v>
      </c>
      <c r="M156" s="1">
        <f t="shared" si="21"/>
        <v>-2.4688416350000004</v>
      </c>
      <c r="N156" s="2">
        <f t="shared" si="22"/>
        <v>-0.18402218507751941</v>
      </c>
      <c r="O156" s="1"/>
      <c r="P156" s="5">
        <f t="shared" si="17"/>
        <v>2.5942243542119471E-3</v>
      </c>
      <c r="Q156">
        <f t="shared" si="18"/>
        <v>2.1311658085267169E-3</v>
      </c>
      <c r="R156" s="5">
        <f>Table3[[#This Row],[stdev(rad/s)]]/SQRT(3)</f>
        <v>1.4977761292425508E-3</v>
      </c>
      <c r="S156" s="9">
        <f>Table3[[#This Row],[stdev(rad/s)]]/AVERAGE(G156:G158)</f>
        <v>3.7714478609888753E-5</v>
      </c>
      <c r="T156" s="10">
        <f>Table3[[#This Row],[stdev(m)]]/AVERAGE(E156:E158)</f>
        <v>0.36449541440697575</v>
      </c>
      <c r="U156" s="2">
        <f>(AVERAGE(E156:E158)-Table3[[#This Row],[Target Amplitude (m)]])/Table3[[#This Row],[Target Amplitude (m)]]</f>
        <v>-0.26913833333333342</v>
      </c>
    </row>
    <row r="157" spans="1:21" x14ac:dyDescent="0.45">
      <c r="A157">
        <v>56</v>
      </c>
      <c r="B157">
        <v>12</v>
      </c>
      <c r="C157">
        <f t="shared" si="6"/>
        <v>13.416</v>
      </c>
      <c r="D157">
        <v>8.0000000000000002E-3</v>
      </c>
      <c r="E157" s="11">
        <v>6.9544100000000003E-3</v>
      </c>
      <c r="F157" s="6">
        <v>7.7000000000000001E-5</v>
      </c>
      <c r="G157" s="7">
        <v>68.786699999999996</v>
      </c>
      <c r="H157" s="6">
        <v>8.8000000000000003E-4</v>
      </c>
      <c r="I157" s="6"/>
      <c r="J157" s="1">
        <f t="shared" si="7"/>
        <v>10.947747238499998</v>
      </c>
      <c r="K157" s="1">
        <f t="shared" ref="K157" si="28">J157-B157</f>
        <v>-1.0522527615000019</v>
      </c>
      <c r="L157" s="2">
        <f t="shared" si="20"/>
        <v>-8.7687730125000155E-2</v>
      </c>
      <c r="M157" s="1">
        <f t="shared" si="21"/>
        <v>-2.4682527615000023</v>
      </c>
      <c r="N157" s="2">
        <f t="shared" si="22"/>
        <v>-0.18397829170393576</v>
      </c>
      <c r="O157" s="1"/>
      <c r="R157" s="5"/>
      <c r="S157" s="9"/>
      <c r="T157" s="10"/>
      <c r="U157" s="2"/>
    </row>
    <row r="158" spans="1:21" x14ac:dyDescent="0.45">
      <c r="A158">
        <v>57</v>
      </c>
      <c r="B158">
        <v>12</v>
      </c>
      <c r="C158">
        <f t="shared" si="6"/>
        <v>13.416</v>
      </c>
      <c r="D158">
        <v>8.0000000000000002E-3</v>
      </c>
      <c r="E158" s="11">
        <v>7.1962700000000003E-3</v>
      </c>
      <c r="F158" s="6">
        <v>6.4999999999999994E-5</v>
      </c>
      <c r="G158" s="7">
        <v>68.787999999999997</v>
      </c>
      <c r="H158" s="6">
        <v>5.4000000000000001E-4</v>
      </c>
      <c r="I158" s="6"/>
      <c r="J158" s="1">
        <f t="shared" si="7"/>
        <v>10.947954139999998</v>
      </c>
      <c r="K158" s="1">
        <f t="shared" si="8"/>
        <v>-1.0520458600000016</v>
      </c>
      <c r="L158" s="2">
        <f t="shared" si="20"/>
        <v>-8.7670488333333463E-2</v>
      </c>
      <c r="M158" s="1">
        <f t="shared" si="21"/>
        <v>-2.4680458600000019</v>
      </c>
      <c r="N158" s="2">
        <f t="shared" si="22"/>
        <v>-0.1839628697078117</v>
      </c>
      <c r="O158" s="1"/>
      <c r="R158" s="5"/>
      <c r="S158" s="9"/>
      <c r="T158" s="10"/>
      <c r="U158" s="2"/>
    </row>
    <row r="159" spans="1:21" hidden="1" x14ac:dyDescent="0.45">
      <c r="A159">
        <v>58</v>
      </c>
      <c r="B159">
        <v>15</v>
      </c>
      <c r="C159">
        <f t="shared" si="6"/>
        <v>16.770000000000003</v>
      </c>
      <c r="D159">
        <v>1E-3</v>
      </c>
      <c r="E159" s="11"/>
      <c r="F159" s="6"/>
      <c r="G159" s="7"/>
      <c r="H159" s="6"/>
      <c r="I159" s="6"/>
      <c r="J159" s="1">
        <f t="shared" si="7"/>
        <v>0</v>
      </c>
      <c r="K159" s="1">
        <f t="shared" si="8"/>
        <v>-15</v>
      </c>
      <c r="L159" s="2">
        <f t="shared" si="20"/>
        <v>-1</v>
      </c>
      <c r="M159" s="1">
        <f t="shared" si="21"/>
        <v>-16.770000000000003</v>
      </c>
      <c r="N159" s="2">
        <f t="shared" si="22"/>
        <v>-1</v>
      </c>
      <c r="O159" s="1"/>
      <c r="P159" s="5" t="e">
        <f t="shared" si="17"/>
        <v>#DIV/0!</v>
      </c>
      <c r="Q159" t="e">
        <f t="shared" si="18"/>
        <v>#DIV/0!</v>
      </c>
      <c r="R159" s="5" t="e">
        <f>Table3[[#This Row],[stdev(rad/s)]]/SQRT(3)</f>
        <v>#DIV/0!</v>
      </c>
      <c r="S159" s="9" t="e">
        <f>Table3[[#This Row],[stdev(rad/s)]]/AVERAGE(G159:G161)</f>
        <v>#DIV/0!</v>
      </c>
      <c r="T159" s="10" t="e">
        <f>Table3[[#This Row],[stdev(m)]]/AVERAGE(E159:E161)</f>
        <v>#DIV/0!</v>
      </c>
      <c r="U159" s="2" t="e">
        <f>(AVERAGE(E159:E161)-Table3[[#This Row],[Target Amplitude (m)]])/Table3[[#This Row],[Target Amplitude (m)]]</f>
        <v>#DIV/0!</v>
      </c>
    </row>
    <row r="160" spans="1:21" hidden="1" x14ac:dyDescent="0.45">
      <c r="A160">
        <v>59</v>
      </c>
      <c r="B160">
        <v>15</v>
      </c>
      <c r="C160">
        <f t="shared" si="6"/>
        <v>16.770000000000003</v>
      </c>
      <c r="D160">
        <v>1E-3</v>
      </c>
      <c r="E160" s="11"/>
      <c r="F160" s="6"/>
      <c r="G160" s="7"/>
      <c r="H160" s="6"/>
      <c r="I160" s="6"/>
      <c r="J160" s="1">
        <f t="shared" si="7"/>
        <v>0</v>
      </c>
      <c r="K160" s="1">
        <f t="shared" ref="K160:K162" si="29">J160-B160</f>
        <v>-15</v>
      </c>
      <c r="L160" s="2">
        <f t="shared" si="20"/>
        <v>-1</v>
      </c>
      <c r="M160" s="1">
        <f t="shared" si="21"/>
        <v>-16.770000000000003</v>
      </c>
      <c r="N160" s="2">
        <f t="shared" si="22"/>
        <v>-1</v>
      </c>
      <c r="O160" s="1"/>
      <c r="P160" s="5" t="e">
        <f t="shared" si="17"/>
        <v>#DIV/0!</v>
      </c>
      <c r="Q160" t="e">
        <f t="shared" si="18"/>
        <v>#DIV/0!</v>
      </c>
      <c r="R160" s="5" t="e">
        <f>Table3[[#This Row],[stdev(rad/s)]]/SQRT(3)</f>
        <v>#DIV/0!</v>
      </c>
      <c r="S160" s="9" t="e">
        <f>Table3[[#This Row],[stdev(rad/s)]]/AVERAGE(G160:G162)</f>
        <v>#DIV/0!</v>
      </c>
      <c r="T160" s="10" t="e">
        <f>Table3[[#This Row],[stdev(m)]]/AVERAGE(E160:E162)</f>
        <v>#DIV/0!</v>
      </c>
      <c r="U160" s="2" t="e">
        <f>(AVERAGE(E160:E162)-Table3[[#This Row],[Target Amplitude (m)]])/Table3[[#This Row],[Target Amplitude (m)]]</f>
        <v>#DIV/0!</v>
      </c>
    </row>
    <row r="161" spans="1:22" hidden="1" x14ac:dyDescent="0.45">
      <c r="A161">
        <v>60</v>
      </c>
      <c r="B161">
        <v>15</v>
      </c>
      <c r="C161">
        <f t="shared" si="6"/>
        <v>16.770000000000003</v>
      </c>
      <c r="D161">
        <v>1E-3</v>
      </c>
      <c r="E161" s="11"/>
      <c r="F161" s="6"/>
      <c r="G161" s="7"/>
      <c r="H161" s="6"/>
      <c r="I161" s="6"/>
      <c r="J161" s="1">
        <f t="shared" si="7"/>
        <v>0</v>
      </c>
      <c r="K161" s="1">
        <f t="shared" ref="K161" si="30">J161-B161</f>
        <v>-15</v>
      </c>
      <c r="L161" s="2">
        <f t="shared" si="20"/>
        <v>-1</v>
      </c>
      <c r="M161" s="1">
        <f t="shared" si="21"/>
        <v>-16.770000000000003</v>
      </c>
      <c r="N161" s="2">
        <f t="shared" si="22"/>
        <v>-1</v>
      </c>
      <c r="O161" s="1"/>
      <c r="P161" s="5" t="e">
        <f t="shared" si="17"/>
        <v>#DIV/0!</v>
      </c>
      <c r="Q161" t="e">
        <f t="shared" si="18"/>
        <v>#DIV/0!</v>
      </c>
      <c r="R161" s="5" t="e">
        <f>Table3[[#This Row],[stdev(rad/s)]]/SQRT(3)</f>
        <v>#DIV/0!</v>
      </c>
      <c r="S161" s="9" t="e">
        <f>Table3[[#This Row],[stdev(rad/s)]]/AVERAGE(G161:G163)</f>
        <v>#DIV/0!</v>
      </c>
      <c r="T161" s="10" t="e">
        <f>Table3[[#This Row],[stdev(m)]]/AVERAGE(E161:E163)</f>
        <v>#DIV/0!</v>
      </c>
      <c r="U161" s="2" t="e">
        <f>(AVERAGE(E161:E163)-Table3[[#This Row],[Target Amplitude (m)]])/Table3[[#This Row],[Target Amplitude (m)]]</f>
        <v>#DIV/0!</v>
      </c>
    </row>
    <row r="162" spans="1:22" hidden="1" x14ac:dyDescent="0.45">
      <c r="A162">
        <v>61</v>
      </c>
      <c r="B162">
        <v>15</v>
      </c>
      <c r="C162">
        <f t="shared" si="6"/>
        <v>16.770000000000003</v>
      </c>
      <c r="D162">
        <v>1E-3</v>
      </c>
      <c r="E162" s="11"/>
      <c r="F162" s="6"/>
      <c r="G162" s="7"/>
      <c r="H162" s="6"/>
      <c r="I162" s="6"/>
      <c r="J162" s="1">
        <f t="shared" si="7"/>
        <v>0</v>
      </c>
      <c r="K162" s="1">
        <f t="shared" si="29"/>
        <v>-15</v>
      </c>
      <c r="L162" s="2">
        <f t="shared" si="20"/>
        <v>-1</v>
      </c>
      <c r="M162" s="1">
        <f t="shared" si="21"/>
        <v>-16.770000000000003</v>
      </c>
      <c r="N162" s="2">
        <f t="shared" si="22"/>
        <v>-1</v>
      </c>
      <c r="O162" s="1"/>
      <c r="P162" s="5" t="e">
        <f t="shared" si="17"/>
        <v>#DIV/0!</v>
      </c>
      <c r="Q162" t="e">
        <f t="shared" si="18"/>
        <v>#DIV/0!</v>
      </c>
      <c r="R162" s="5" t="e">
        <f>Table3[[#This Row],[stdev(rad/s)]]/SQRT(3)</f>
        <v>#DIV/0!</v>
      </c>
      <c r="S162" s="9" t="e">
        <f>Table3[[#This Row],[stdev(rad/s)]]/AVERAGE(G162:G164)</f>
        <v>#DIV/0!</v>
      </c>
      <c r="T162" s="10" t="e">
        <f>Table3[[#This Row],[stdev(m)]]/AVERAGE(E162:E164)</f>
        <v>#DIV/0!</v>
      </c>
      <c r="U162" s="2">
        <f>(AVERAGE(E162:E164)-Table3[[#This Row],[Target Amplitude (m)]])/Table3[[#This Row],[Target Amplitude (m)]]</f>
        <v>1.1002500000000002</v>
      </c>
    </row>
    <row r="163" spans="1:22" hidden="1" x14ac:dyDescent="0.45">
      <c r="A163">
        <v>62</v>
      </c>
      <c r="B163">
        <v>15</v>
      </c>
      <c r="C163">
        <f t="shared" si="6"/>
        <v>16.770000000000003</v>
      </c>
      <c r="D163">
        <v>1E-3</v>
      </c>
      <c r="E163" s="11"/>
      <c r="G163" s="7"/>
      <c r="H163" s="6"/>
      <c r="I163" s="6"/>
      <c r="J163" s="1">
        <f t="shared" si="7"/>
        <v>0</v>
      </c>
      <c r="K163" s="1">
        <f t="shared" si="8"/>
        <v>-15</v>
      </c>
      <c r="L163" s="2">
        <f t="shared" si="20"/>
        <v>-1</v>
      </c>
      <c r="M163" s="1">
        <f t="shared" si="21"/>
        <v>-16.770000000000003</v>
      </c>
      <c r="N163" s="2">
        <f t="shared" si="22"/>
        <v>-1</v>
      </c>
      <c r="O163" s="1"/>
      <c r="P163" s="5">
        <f t="shared" si="17"/>
        <v>5.3740115370253336E-3</v>
      </c>
      <c r="Q163">
        <f t="shared" si="18"/>
        <v>2.7645117427947366E-3</v>
      </c>
      <c r="R163" s="5">
        <f>Table3[[#This Row],[stdev(rad/s)]]/SQRT(3)</f>
        <v>3.102687007529731E-3</v>
      </c>
      <c r="S163" s="9">
        <f>Table3[[#This Row],[stdev(rad/s)]]/AVERAGE(G163:G165)</f>
        <v>5.4033789013541937E-5</v>
      </c>
      <c r="T163" s="10">
        <f>Table3[[#This Row],[stdev(m)]]/AVERAGE(E163:E165)</f>
        <v>0.6817445738207587</v>
      </c>
      <c r="U163" s="2">
        <f>(AVERAGE(E163:E165)-Table3[[#This Row],[Target Amplitude (m)]])/Table3[[#This Row],[Target Amplitude (m)]]</f>
        <v>3.0550549999999999</v>
      </c>
    </row>
    <row r="164" spans="1:22" x14ac:dyDescent="0.45">
      <c r="A164">
        <v>63</v>
      </c>
      <c r="B164">
        <v>15</v>
      </c>
      <c r="C164">
        <f t="shared" si="6"/>
        <v>16.770000000000003</v>
      </c>
      <c r="D164">
        <v>5.0000000000000001E-3</v>
      </c>
      <c r="E164" s="11">
        <v>2.1002500000000001E-3</v>
      </c>
      <c r="F164" s="5">
        <v>5.1E-5</v>
      </c>
      <c r="G164" s="7">
        <v>99.452699999999993</v>
      </c>
      <c r="H164" s="6">
        <v>3.3E-3</v>
      </c>
      <c r="I164" s="6"/>
      <c r="J164" s="1">
        <f t="shared" si="7"/>
        <v>15.828394468499997</v>
      </c>
      <c r="K164" s="1">
        <f t="shared" si="8"/>
        <v>0.82839446849999732</v>
      </c>
      <c r="L164" s="2">
        <f t="shared" si="20"/>
        <v>5.5226297899999818E-2</v>
      </c>
      <c r="M164" s="1">
        <f t="shared" si="21"/>
        <v>-0.94160553150000581</v>
      </c>
      <c r="N164" s="2">
        <f t="shared" si="22"/>
        <v>-5.6148212969588884E-2</v>
      </c>
      <c r="O164" s="1"/>
      <c r="P164" s="5">
        <f t="shared" si="17"/>
        <v>7.2037027515993671E-3</v>
      </c>
      <c r="Q164">
        <f t="shared" si="18"/>
        <v>1.9675194311704605E-3</v>
      </c>
      <c r="R164" s="5">
        <f>Table3[[#This Row],[stdev(rad/s)]]/SQRT(3)</f>
        <v>4.1590597227979427E-3</v>
      </c>
      <c r="S164" s="9">
        <f>Table3[[#This Row],[stdev(rad/s)]]/AVERAGE(G164:G166)</f>
        <v>7.2433261601373718E-5</v>
      </c>
      <c r="T164" s="10">
        <f>Table3[[#This Row],[stdev(m)]]/AVERAGE(E164:E166)</f>
        <v>0.50113541122510008</v>
      </c>
      <c r="U164" s="2">
        <f>(AVERAGE(E164:E166)-Table3[[#This Row],[Target Amplitude (m)]])/Table3[[#This Row],[Target Amplitude (m)]]</f>
        <v>-0.21477533333333337</v>
      </c>
    </row>
    <row r="165" spans="1:22" x14ac:dyDescent="0.45">
      <c r="A165">
        <v>64</v>
      </c>
      <c r="B165">
        <v>15</v>
      </c>
      <c r="C165">
        <f t="shared" si="6"/>
        <v>16.770000000000003</v>
      </c>
      <c r="D165">
        <v>5.0000000000000001E-3</v>
      </c>
      <c r="E165" s="11">
        <v>6.0098599999999997E-3</v>
      </c>
      <c r="F165" s="5">
        <v>2.3000000000000001E-4</v>
      </c>
      <c r="G165" s="7">
        <v>99.460300000000004</v>
      </c>
      <c r="H165" s="5">
        <v>9.1000000000000004E-3</v>
      </c>
      <c r="I165" s="5"/>
      <c r="J165" s="1">
        <f t="shared" si="7"/>
        <v>15.8296040465</v>
      </c>
      <c r="K165" s="1">
        <f t="shared" ref="K165" si="31">J165-B165</f>
        <v>0.82960404650000008</v>
      </c>
      <c r="L165" s="2">
        <f t="shared" si="20"/>
        <v>5.5306936433333335E-2</v>
      </c>
      <c r="M165" s="1">
        <f t="shared" si="21"/>
        <v>-0.94039595350000305</v>
      </c>
      <c r="N165" s="2">
        <f t="shared" si="22"/>
        <v>-5.6076085480024025E-2</v>
      </c>
      <c r="O165" s="1"/>
      <c r="R165" s="5"/>
      <c r="S165" s="9"/>
      <c r="T165" s="10"/>
      <c r="U165" s="2"/>
    </row>
    <row r="166" spans="1:22" x14ac:dyDescent="0.45">
      <c r="A166">
        <v>65</v>
      </c>
      <c r="B166">
        <v>15</v>
      </c>
      <c r="C166">
        <f t="shared" si="6"/>
        <v>16.770000000000003</v>
      </c>
      <c r="D166">
        <v>5.0000000000000001E-3</v>
      </c>
      <c r="E166" s="11">
        <v>3.66826E-3</v>
      </c>
      <c r="F166" s="5">
        <v>6.3E-5</v>
      </c>
      <c r="G166" s="7">
        <v>99.445899999999995</v>
      </c>
      <c r="H166" s="5">
        <v>2.5999999999999999E-3</v>
      </c>
      <c r="I166" s="5"/>
      <c r="J166" s="1">
        <f t="shared" si="7"/>
        <v>15.827312214499997</v>
      </c>
      <c r="K166" s="1">
        <f t="shared" si="8"/>
        <v>0.82731221449999737</v>
      </c>
      <c r="L166" s="2">
        <f t="shared" si="20"/>
        <v>5.5154147633333157E-2</v>
      </c>
      <c r="M166" s="1">
        <f t="shared" si="21"/>
        <v>-0.94268778550000576</v>
      </c>
      <c r="N166" s="2">
        <f t="shared" si="22"/>
        <v>-5.621274809183098E-2</v>
      </c>
      <c r="O166" s="1"/>
      <c r="R166" s="5"/>
      <c r="S166" s="9"/>
      <c r="T166" s="10"/>
      <c r="U166" s="2"/>
    </row>
    <row r="167" spans="1:22" ht="14" customHeight="1" x14ac:dyDescent="0.45">
      <c r="C167">
        <f>B167*1.118</f>
        <v>0</v>
      </c>
      <c r="G167" s="7"/>
      <c r="H167" s="6"/>
      <c r="I167" s="6"/>
      <c r="J167" s="1">
        <f>0.159155*G167</f>
        <v>0</v>
      </c>
      <c r="K167" s="1">
        <f>J167-B167</f>
        <v>0</v>
      </c>
      <c r="L167" s="2" t="e">
        <f t="shared" si="20"/>
        <v>#DIV/0!</v>
      </c>
      <c r="M167" s="1">
        <f t="shared" si="21"/>
        <v>0</v>
      </c>
      <c r="N167" s="2" t="e">
        <f t="shared" si="22"/>
        <v>#DIV/0!</v>
      </c>
      <c r="O167" s="1"/>
      <c r="R167" s="5"/>
      <c r="S167" s="9"/>
      <c r="T167" s="10"/>
      <c r="U167" s="2"/>
    </row>
    <row r="168" spans="1:22" ht="14" customHeight="1" x14ac:dyDescent="0.45">
      <c r="C168">
        <f>B168*1.118</f>
        <v>0</v>
      </c>
      <c r="G168" s="5"/>
      <c r="H168" s="6"/>
      <c r="I168" s="6"/>
      <c r="J168" s="1">
        <f>0.159155*G168</f>
        <v>0</v>
      </c>
      <c r="K168" s="1">
        <f>J168-B168</f>
        <v>0</v>
      </c>
      <c r="L168" s="2" t="e">
        <f>K168/B168</f>
        <v>#DIV/0!</v>
      </c>
      <c r="M168" s="1">
        <f>J168-C168</f>
        <v>0</v>
      </c>
      <c r="N168" s="2" t="e">
        <f>M168/C168</f>
        <v>#DIV/0!</v>
      </c>
      <c r="O168" s="1"/>
      <c r="Q168" s="59"/>
      <c r="R168" s="5"/>
      <c r="S168" s="9"/>
      <c r="T168" s="10"/>
      <c r="U168" s="2"/>
    </row>
    <row r="169" spans="1:22" ht="14" customHeight="1" x14ac:dyDescent="0.45">
      <c r="C169">
        <f>B169*1.118</f>
        <v>0</v>
      </c>
      <c r="G169" s="5"/>
      <c r="H169" s="6"/>
      <c r="I169" s="6"/>
      <c r="J169" s="1">
        <f>0.159155*G169</f>
        <v>0</v>
      </c>
      <c r="K169" s="1">
        <f>J169-B169</f>
        <v>0</v>
      </c>
      <c r="L169" s="2" t="e">
        <f>K169/B169</f>
        <v>#DIV/0!</v>
      </c>
      <c r="M169" s="1">
        <f>J169-C169</f>
        <v>0</v>
      </c>
      <c r="N169" s="2" t="e">
        <f>M169/C169</f>
        <v>#DIV/0!</v>
      </c>
      <c r="O169" s="1"/>
      <c r="Q169" s="59"/>
      <c r="R169" s="5"/>
      <c r="S169" s="9"/>
      <c r="T169" s="10"/>
      <c r="U169" s="2"/>
    </row>
    <row r="170" spans="1:22" s="21" customFormat="1" x14ac:dyDescent="0.45">
      <c r="A170" s="21">
        <v>66</v>
      </c>
      <c r="B170" s="21">
        <v>3</v>
      </c>
      <c r="C170" s="21">
        <f>B170*1.118</f>
        <v>3.3540000000000001</v>
      </c>
      <c r="D170" s="21">
        <v>5.0000000000000001E-3</v>
      </c>
      <c r="E170" s="21">
        <v>4.70499E-3</v>
      </c>
      <c r="F170" s="22">
        <v>1.7E-6</v>
      </c>
      <c r="G170" s="30">
        <v>22.8</v>
      </c>
      <c r="H170" s="23">
        <v>1.9000000000000001E-5</v>
      </c>
      <c r="I170" s="23"/>
      <c r="J170" s="24">
        <f>0.159155*G170</f>
        <v>3.6287340000000001</v>
      </c>
      <c r="K170" s="24">
        <f>J170-B170</f>
        <v>0.62873400000000013</v>
      </c>
      <c r="L170" s="25">
        <f t="shared" si="20"/>
        <v>0.20957800000000004</v>
      </c>
      <c r="M170" s="24">
        <f t="shared" si="21"/>
        <v>0.27473400000000003</v>
      </c>
      <c r="N170" s="25">
        <f t="shared" si="22"/>
        <v>8.1912343470483012E-2</v>
      </c>
      <c r="O170" s="24"/>
      <c r="P170" s="22"/>
      <c r="R170" s="22"/>
      <c r="S170" s="26"/>
      <c r="T170" s="27"/>
      <c r="U170" s="25">
        <f>(Table3[[#This Row],[Actual Amplitude (m)]]-Table3[[#This Row],[Target Amplitude (m)]])/Table3[[#This Row],[Target Amplitude (m)]]</f>
        <v>-5.9002000000000013E-2</v>
      </c>
    </row>
    <row r="171" spans="1:22" x14ac:dyDescent="0.45">
      <c r="A171">
        <v>67</v>
      </c>
      <c r="B171">
        <v>3</v>
      </c>
      <c r="C171">
        <f>B171*1.118</f>
        <v>3.3540000000000001</v>
      </c>
      <c r="D171">
        <v>1E-3</v>
      </c>
      <c r="E171">
        <v>8.5757800000000001E-4</v>
      </c>
      <c r="F171" s="5">
        <v>1.9999999999999999E-6</v>
      </c>
      <c r="G171" s="7">
        <v>26.047599999999999</v>
      </c>
      <c r="H171" s="6">
        <v>1.3999999999999999E-4</v>
      </c>
      <c r="I171" s="6"/>
      <c r="J171" s="1">
        <f>0.159155*G171</f>
        <v>4.1456057779999993</v>
      </c>
      <c r="K171" s="1">
        <f>J171-B171</f>
        <v>1.1456057779999993</v>
      </c>
      <c r="L171" s="2">
        <f t="shared" si="20"/>
        <v>0.38186859266666645</v>
      </c>
      <c r="M171" s="1">
        <f t="shared" si="21"/>
        <v>0.79160577799999921</v>
      </c>
      <c r="N171" s="2">
        <f t="shared" si="22"/>
        <v>0.23601841920095384</v>
      </c>
      <c r="O171" s="1"/>
      <c r="R171" s="5"/>
      <c r="S171" s="9"/>
      <c r="T171" s="10"/>
      <c r="U171" s="2">
        <f>(Table3[[#This Row],[Actual Amplitude (m)]]-Table3[[#This Row],[Target Amplitude (m)]])/Table3[[#This Row],[Target Amplitude (m)]]</f>
        <v>-0.14242200000000002</v>
      </c>
    </row>
    <row r="172" spans="1:22" x14ac:dyDescent="0.45">
      <c r="A172">
        <v>68</v>
      </c>
      <c r="B172">
        <v>3</v>
      </c>
      <c r="C172">
        <f t="shared" ref="C172:C181" si="32">B172*1.118</f>
        <v>3.3540000000000001</v>
      </c>
      <c r="D172">
        <v>2.5000000000000001E-3</v>
      </c>
      <c r="E172">
        <v>2.2791399999999998E-3</v>
      </c>
      <c r="F172" s="5">
        <v>2.9999999999999999E-7</v>
      </c>
      <c r="G172" s="7">
        <v>23.915400000000002</v>
      </c>
      <c r="H172" s="6">
        <v>1.1E-4</v>
      </c>
      <c r="I172" s="6"/>
      <c r="J172" s="1">
        <f t="shared" ref="J172:J181" si="33">0.159155*G172</f>
        <v>3.806255487</v>
      </c>
      <c r="K172" s="1">
        <f t="shared" ref="K172:K181" si="34">J172-B172</f>
        <v>0.80625548700000005</v>
      </c>
      <c r="L172" s="2">
        <f t="shared" ref="L172:L181" si="35">K172/B172</f>
        <v>0.268751829</v>
      </c>
      <c r="M172" s="1">
        <f t="shared" ref="M172:M181" si="36">J172-C172</f>
        <v>0.45225548699999996</v>
      </c>
      <c r="N172" s="2">
        <f t="shared" ref="N172:N181" si="37">M172/C172</f>
        <v>0.13484063416815742</v>
      </c>
      <c r="O172" s="1"/>
      <c r="R172" s="5"/>
      <c r="S172" s="9"/>
      <c r="T172" s="10"/>
      <c r="U172" s="2">
        <f>(Table3[[#This Row],[Actual Amplitude (m)]]-Table3[[#This Row],[Target Amplitude (m)]])/Table3[[#This Row],[Target Amplitude (m)]]</f>
        <v>-8.8344000000000089E-2</v>
      </c>
    </row>
    <row r="173" spans="1:22" x14ac:dyDescent="0.45">
      <c r="A173">
        <v>69</v>
      </c>
      <c r="B173">
        <v>3</v>
      </c>
      <c r="C173">
        <f t="shared" si="32"/>
        <v>3.3540000000000001</v>
      </c>
      <c r="D173">
        <v>0.05</v>
      </c>
      <c r="E173" s="7">
        <v>4.01778E-2</v>
      </c>
      <c r="F173" s="5">
        <v>6.3999999999999997E-5</v>
      </c>
      <c r="G173" s="7">
        <v>12.0328</v>
      </c>
      <c r="H173" s="6">
        <v>7.7999999999999999E-5</v>
      </c>
      <c r="I173" s="6"/>
      <c r="J173" s="1">
        <f t="shared" si="33"/>
        <v>1.9150802839999999</v>
      </c>
      <c r="K173" s="1">
        <f t="shared" si="34"/>
        <v>-1.0849197160000001</v>
      </c>
      <c r="L173" s="2">
        <f t="shared" si="35"/>
        <v>-0.3616399053333334</v>
      </c>
      <c r="M173" s="1">
        <f t="shared" si="36"/>
        <v>-1.4389197160000002</v>
      </c>
      <c r="N173" s="2">
        <f t="shared" si="37"/>
        <v>-0.42901601550387602</v>
      </c>
      <c r="O173" s="1"/>
      <c r="R173" s="5"/>
      <c r="S173" s="9"/>
      <c r="T173" s="10"/>
      <c r="U173" s="2">
        <f>(Table3[[#This Row],[Actual Amplitude (m)]]-Table3[[#This Row],[Target Amplitude (m)]])/Table3[[#This Row],[Target Amplitude (m)]]</f>
        <v>-0.19644400000000006</v>
      </c>
      <c r="V173" t="s">
        <v>33</v>
      </c>
    </row>
    <row r="174" spans="1:22" x14ac:dyDescent="0.45">
      <c r="A174">
        <v>70</v>
      </c>
      <c r="B174">
        <v>3</v>
      </c>
      <c r="C174">
        <f t="shared" si="32"/>
        <v>3.3540000000000001</v>
      </c>
      <c r="D174">
        <v>0.03</v>
      </c>
      <c r="E174" s="7">
        <v>2.5470799999999998E-2</v>
      </c>
      <c r="F174" s="5">
        <v>2.1999999999999999E-5</v>
      </c>
      <c r="G174" s="7">
        <v>17.526299999999999</v>
      </c>
      <c r="H174" s="6">
        <v>4.6999999999999997E-5</v>
      </c>
      <c r="I174" s="6"/>
      <c r="J174" s="1">
        <f t="shared" si="33"/>
        <v>2.7893982764999996</v>
      </c>
      <c r="K174" s="1">
        <f t="shared" si="34"/>
        <v>-0.21060172350000039</v>
      </c>
      <c r="L174" s="2">
        <f t="shared" si="35"/>
        <v>-7.0200574500000126E-2</v>
      </c>
      <c r="M174" s="1">
        <f t="shared" si="36"/>
        <v>-0.56460172350000049</v>
      </c>
      <c r="N174" s="2">
        <f t="shared" si="37"/>
        <v>-0.16833682871198583</v>
      </c>
      <c r="O174" s="1"/>
      <c r="R174" s="5"/>
      <c r="S174" s="9"/>
      <c r="T174" s="10"/>
      <c r="U174" s="2">
        <f>(Table3[[#This Row],[Actual Amplitude (m)]]-Table3[[#This Row],[Target Amplitude (m)]])/Table3[[#This Row],[Target Amplitude (m)]]</f>
        <v>-0.15097333333333335</v>
      </c>
    </row>
    <row r="175" spans="1:22" x14ac:dyDescent="0.45">
      <c r="A175">
        <v>71</v>
      </c>
      <c r="B175">
        <v>3</v>
      </c>
      <c r="C175">
        <f t="shared" si="32"/>
        <v>3.3540000000000001</v>
      </c>
      <c r="D175">
        <v>0.02</v>
      </c>
      <c r="E175" s="7">
        <v>1.8802699999999999E-2</v>
      </c>
      <c r="F175" s="5">
        <v>5.3000000000000001E-6</v>
      </c>
      <c r="G175" s="7">
        <v>20.723700000000001</v>
      </c>
      <c r="H175" s="6">
        <v>2.3E-5</v>
      </c>
      <c r="I175" s="6"/>
      <c r="J175" s="1">
        <f t="shared" si="33"/>
        <v>3.2982804734999998</v>
      </c>
      <c r="K175" s="1">
        <f t="shared" si="34"/>
        <v>0.29828047349999975</v>
      </c>
      <c r="L175" s="2">
        <f t="shared" si="35"/>
        <v>9.9426824499999913E-2</v>
      </c>
      <c r="M175" s="1">
        <f t="shared" si="36"/>
        <v>-5.5719526500000338E-2</v>
      </c>
      <c r="N175" s="2">
        <f t="shared" si="37"/>
        <v>-1.6612858228980423E-2</v>
      </c>
      <c r="O175" s="1"/>
      <c r="R175" s="5"/>
      <c r="S175" s="9"/>
      <c r="T175" s="10"/>
      <c r="U175" s="2">
        <f>(Table3[[#This Row],[Actual Amplitude (m)]]-Table3[[#This Row],[Target Amplitude (m)]])/Table3[[#This Row],[Target Amplitude (m)]]</f>
        <v>-5.9865000000000092E-2</v>
      </c>
      <c r="V175" t="s">
        <v>34</v>
      </c>
    </row>
    <row r="176" spans="1:22" s="14" customFormat="1" x14ac:dyDescent="0.45">
      <c r="A176" s="14">
        <v>72</v>
      </c>
      <c r="B176" s="14">
        <v>3</v>
      </c>
      <c r="C176" s="14">
        <f t="shared" si="32"/>
        <v>3.3540000000000001</v>
      </c>
      <c r="D176" s="14">
        <v>2.5000000000000001E-2</v>
      </c>
      <c r="E176" s="29">
        <v>2.27884E-2</v>
      </c>
      <c r="F176" s="15">
        <v>1.2E-5</v>
      </c>
      <c r="G176" s="29">
        <v>19.242799999999999</v>
      </c>
      <c r="H176" s="16">
        <v>5.8E-5</v>
      </c>
      <c r="I176" s="16"/>
      <c r="J176" s="17">
        <f t="shared" si="33"/>
        <v>3.0625878339999995</v>
      </c>
      <c r="K176" s="17">
        <f t="shared" si="34"/>
        <v>6.2587833999999454E-2</v>
      </c>
      <c r="L176" s="18">
        <f t="shared" si="35"/>
        <v>2.0862611333333152E-2</v>
      </c>
      <c r="M176" s="17">
        <f t="shared" si="36"/>
        <v>-0.29141216600000064</v>
      </c>
      <c r="N176" s="18">
        <f t="shared" si="37"/>
        <v>-8.6884963029219026E-2</v>
      </c>
      <c r="O176" s="17"/>
      <c r="P176" s="15"/>
      <c r="R176" s="15"/>
      <c r="S176" s="19"/>
      <c r="T176" s="20"/>
      <c r="U176" s="18">
        <f>(Table3[[#This Row],[Actual Amplitude (m)]]-Table3[[#This Row],[Target Amplitude (m)]])/Table3[[#This Row],[Target Amplitude (m)]]</f>
        <v>-8.8464000000000043E-2</v>
      </c>
    </row>
    <row r="177" spans="1:22" x14ac:dyDescent="0.45">
      <c r="A177">
        <v>73</v>
      </c>
      <c r="B177">
        <v>4</v>
      </c>
      <c r="C177">
        <f t="shared" si="32"/>
        <v>4.4720000000000004</v>
      </c>
      <c r="D177">
        <v>2.5000000000000001E-2</v>
      </c>
      <c r="E177" s="7">
        <v>2.12485E-2</v>
      </c>
      <c r="F177" s="5">
        <v>1.9000000000000001E-5</v>
      </c>
      <c r="G177" s="7">
        <v>22.0532</v>
      </c>
      <c r="H177" s="6">
        <v>4.8999999999999998E-5</v>
      </c>
      <c r="I177" s="6"/>
      <c r="J177" s="1">
        <f t="shared" si="33"/>
        <v>3.5098770459999997</v>
      </c>
      <c r="K177" s="1">
        <f t="shared" si="34"/>
        <v>-0.49012295400000028</v>
      </c>
      <c r="L177" s="2">
        <f t="shared" si="35"/>
        <v>-0.12253073850000007</v>
      </c>
      <c r="M177" s="1">
        <f t="shared" si="36"/>
        <v>-0.9621229540000007</v>
      </c>
      <c r="N177" s="2">
        <f t="shared" si="37"/>
        <v>-0.2151437732558141</v>
      </c>
      <c r="O177" s="1"/>
      <c r="R177" s="5"/>
      <c r="S177" s="9"/>
      <c r="T177" s="10"/>
      <c r="U177" s="2">
        <f>(Table3[[#This Row],[Actual Amplitude (m)]]-Table3[[#This Row],[Target Amplitude (m)]])/Table3[[#This Row],[Target Amplitude (m)]]</f>
        <v>-0.15006000000000005</v>
      </c>
    </row>
    <row r="178" spans="1:22" x14ac:dyDescent="0.45">
      <c r="A178">
        <v>74</v>
      </c>
      <c r="B178">
        <v>4</v>
      </c>
      <c r="C178">
        <f t="shared" si="32"/>
        <v>4.4720000000000004</v>
      </c>
      <c r="D178">
        <v>1.4999999999999999E-2</v>
      </c>
      <c r="E178" s="7">
        <v>1.3932099999999999E-2</v>
      </c>
      <c r="F178" s="5">
        <v>8.8999999999999995E-6</v>
      </c>
      <c r="G178" s="7">
        <v>27.802900000000001</v>
      </c>
      <c r="H178" s="6">
        <v>3.6999999999999998E-5</v>
      </c>
      <c r="I178" s="6"/>
      <c r="J178" s="1">
        <f t="shared" si="33"/>
        <v>4.4249705495000002</v>
      </c>
      <c r="K178" s="1">
        <f t="shared" si="34"/>
        <v>0.42497054950000024</v>
      </c>
      <c r="L178" s="2">
        <f t="shared" si="35"/>
        <v>0.10624263737500006</v>
      </c>
      <c r="M178" s="1">
        <f t="shared" si="36"/>
        <v>-4.7029450500000181E-2</v>
      </c>
      <c r="N178" s="2">
        <f t="shared" si="37"/>
        <v>-1.0516424530411489E-2</v>
      </c>
      <c r="O178" s="1"/>
      <c r="R178" s="5"/>
      <c r="S178" s="9"/>
      <c r="T178" s="10"/>
      <c r="U178" s="2">
        <f>(Table3[[#This Row],[Actual Amplitude (m)]]-Table3[[#This Row],[Target Amplitude (m)]])/Table3[[#This Row],[Target Amplitude (m)]]</f>
        <v>-7.1193333333333345E-2</v>
      </c>
    </row>
    <row r="179" spans="1:22" x14ac:dyDescent="0.45">
      <c r="A179">
        <v>75</v>
      </c>
      <c r="B179">
        <v>4</v>
      </c>
      <c r="C179">
        <f t="shared" si="32"/>
        <v>4.4720000000000004</v>
      </c>
      <c r="D179">
        <v>0.02</v>
      </c>
      <c r="E179" s="7">
        <v>1.7447899999999999E-2</v>
      </c>
      <c r="F179" s="5">
        <v>1.5999999999999999E-5</v>
      </c>
      <c r="G179" s="7">
        <v>25.037600000000001</v>
      </c>
      <c r="H179" s="6">
        <v>6.4999999999999994E-5</v>
      </c>
      <c r="I179" s="6"/>
      <c r="J179" s="1">
        <f t="shared" si="33"/>
        <v>3.9848592279999999</v>
      </c>
      <c r="K179" s="1">
        <f t="shared" si="34"/>
        <v>-1.514077200000008E-2</v>
      </c>
      <c r="L179" s="2">
        <f t="shared" si="35"/>
        <v>-3.78519300000002E-3</v>
      </c>
      <c r="M179" s="1">
        <f t="shared" si="36"/>
        <v>-0.4871407720000005</v>
      </c>
      <c r="N179" s="2">
        <f t="shared" si="37"/>
        <v>-0.10893129964221834</v>
      </c>
      <c r="O179" s="1"/>
      <c r="R179" s="5"/>
      <c r="S179" s="9"/>
      <c r="T179" s="10"/>
      <c r="U179" s="2">
        <f>(Table3[[#This Row],[Actual Amplitude (m)]]-Table3[[#This Row],[Target Amplitude (m)]])/Table3[[#This Row],[Target Amplitude (m)]]</f>
        <v>-0.12760500000000008</v>
      </c>
      <c r="V179" t="s">
        <v>35</v>
      </c>
    </row>
    <row r="180" spans="1:22" x14ac:dyDescent="0.45">
      <c r="A180">
        <v>76</v>
      </c>
      <c r="B180">
        <v>3</v>
      </c>
      <c r="C180">
        <f t="shared" si="32"/>
        <v>3.3540000000000001</v>
      </c>
      <c r="D180">
        <v>1E-3</v>
      </c>
      <c r="E180" s="7">
        <v>8.3066900000000003E-4</v>
      </c>
      <c r="F180" s="5">
        <v>1.3999999999999999E-6</v>
      </c>
      <c r="G180" s="7">
        <v>26.0471</v>
      </c>
      <c r="H180" s="6"/>
      <c r="I180" s="6"/>
      <c r="J180" s="1">
        <f t="shared" si="33"/>
        <v>4.1455262005</v>
      </c>
      <c r="K180" s="1">
        <f t="shared" si="34"/>
        <v>1.1455262005</v>
      </c>
      <c r="L180" s="2">
        <f t="shared" si="35"/>
        <v>0.38184206683333333</v>
      </c>
      <c r="M180" s="1">
        <f t="shared" si="36"/>
        <v>0.79152620049999989</v>
      </c>
      <c r="N180" s="2">
        <f t="shared" si="37"/>
        <v>0.23599469305307091</v>
      </c>
      <c r="O180" s="1"/>
      <c r="R180" s="5"/>
      <c r="S180" s="9"/>
      <c r="T180" s="10"/>
      <c r="U180" s="2">
        <f>(Table3[[#This Row],[Actual Amplitude (m)]]-Table3[[#This Row],[Target Amplitude (m)]])/Table3[[#This Row],[Target Amplitude (m)]]</f>
        <v>-0.16933099999999998</v>
      </c>
      <c r="V180" t="s">
        <v>36</v>
      </c>
    </row>
    <row r="181" spans="1:22" x14ac:dyDescent="0.45">
      <c r="A181">
        <v>77</v>
      </c>
      <c r="B181">
        <v>4</v>
      </c>
      <c r="C181">
        <f t="shared" si="32"/>
        <v>4.4720000000000004</v>
      </c>
      <c r="D181">
        <v>1E-3</v>
      </c>
      <c r="E181" s="7">
        <v>8.3240400000000002E-4</v>
      </c>
      <c r="F181" s="5">
        <v>1.3E-6</v>
      </c>
      <c r="G181" s="7">
        <v>34.6556</v>
      </c>
      <c r="H181" s="6">
        <v>9.1000000000000003E-5</v>
      </c>
      <c r="I181" s="6"/>
      <c r="J181" s="1">
        <f t="shared" si="33"/>
        <v>5.5156120179999997</v>
      </c>
      <c r="K181" s="1">
        <f t="shared" si="34"/>
        <v>1.5156120179999997</v>
      </c>
      <c r="L181" s="2">
        <f t="shared" si="35"/>
        <v>0.37890300449999992</v>
      </c>
      <c r="M181" s="1">
        <f t="shared" si="36"/>
        <v>1.0436120179999993</v>
      </c>
      <c r="N181" s="2">
        <f t="shared" si="37"/>
        <v>0.23336583586762055</v>
      </c>
      <c r="O181" s="1"/>
      <c r="R181" s="5"/>
      <c r="S181" s="9"/>
      <c r="T181" s="10"/>
      <c r="U181" s="2">
        <f>(Table3[[#This Row],[Actual Amplitude (m)]]-Table3[[#This Row],[Target Amplitude (m)]])/Table3[[#This Row],[Target Amplitude (m)]]</f>
        <v>-0.16759599999999999</v>
      </c>
      <c r="V181" t="s">
        <v>36</v>
      </c>
    </row>
    <row r="182" spans="1:22" x14ac:dyDescent="0.45">
      <c r="A182">
        <v>78</v>
      </c>
      <c r="B182">
        <v>4</v>
      </c>
      <c r="C182">
        <f t="shared" ref="C182:C206" si="38">B182*1.118</f>
        <v>4.4720000000000004</v>
      </c>
      <c r="D182">
        <v>3.0000000000000001E-3</v>
      </c>
      <c r="E182">
        <v>2.7847700000000002E-3</v>
      </c>
      <c r="F182" s="5">
        <v>1.3999999999999999E-6</v>
      </c>
      <c r="G182" s="7">
        <v>31.368200000000002</v>
      </c>
      <c r="H182" s="6">
        <v>4.3000000000000002E-5</v>
      </c>
      <c r="I182" s="6"/>
      <c r="J182" s="1">
        <f t="shared" ref="J182:J206" si="39">0.159155*G182</f>
        <v>4.9924058709999999</v>
      </c>
      <c r="K182" s="1">
        <f t="shared" ref="K182:K206" si="40">J182-B182</f>
        <v>0.99240587099999988</v>
      </c>
      <c r="L182" s="2">
        <f t="shared" ref="L182:L206" si="41">K182/B182</f>
        <v>0.24810146774999997</v>
      </c>
      <c r="M182" s="1">
        <f t="shared" ref="M182:M206" si="42">J182-C182</f>
        <v>0.52040587099999946</v>
      </c>
      <c r="N182" s="2">
        <f t="shared" ref="N182:N206" si="43">M182/C182</f>
        <v>0.11636982804114478</v>
      </c>
      <c r="O182" s="1"/>
      <c r="R182" s="5"/>
      <c r="S182" s="9"/>
      <c r="T182" s="10"/>
      <c r="U182" s="2">
        <f>(Table3[[#This Row],[Actual Amplitude (m)]]-Table3[[#This Row],[Target Amplitude (m)]])/Table3[[#This Row],[Target Amplitude (m)]]</f>
        <v>-7.1743333333333284E-2</v>
      </c>
      <c r="V182" t="s">
        <v>34</v>
      </c>
    </row>
    <row r="183" spans="1:22" x14ac:dyDescent="0.45">
      <c r="A183">
        <v>79</v>
      </c>
      <c r="B183">
        <v>4</v>
      </c>
      <c r="C183">
        <f t="shared" si="38"/>
        <v>4.4720000000000004</v>
      </c>
      <c r="D183">
        <v>3.5000000000000001E-3</v>
      </c>
      <c r="E183">
        <v>3.27787E-3</v>
      </c>
      <c r="F183" s="5">
        <v>1.1000000000000001E-6</v>
      </c>
      <c r="G183" s="7">
        <v>30.979800000000001</v>
      </c>
      <c r="H183" s="6">
        <v>3.6000000000000001E-5</v>
      </c>
      <c r="I183" s="6"/>
      <c r="J183" s="1">
        <f t="shared" si="39"/>
        <v>4.930590069</v>
      </c>
      <c r="K183" s="1">
        <f t="shared" si="40"/>
        <v>0.93059006899999996</v>
      </c>
      <c r="L183" s="2">
        <f t="shared" si="41"/>
        <v>0.23264751724999999</v>
      </c>
      <c r="M183" s="1">
        <f t="shared" si="42"/>
        <v>0.45859006899999954</v>
      </c>
      <c r="N183" s="2">
        <f t="shared" si="43"/>
        <v>0.10254697428443638</v>
      </c>
      <c r="O183" s="1"/>
      <c r="R183" s="5"/>
      <c r="S183" s="9"/>
      <c r="T183" s="10"/>
      <c r="U183" s="2">
        <f>(Table3[[#This Row],[Actual Amplitude (m)]]-Table3[[#This Row],[Target Amplitude (m)]])/Table3[[#This Row],[Target Amplitude (m)]]</f>
        <v>-6.3465714285714306E-2</v>
      </c>
    </row>
    <row r="184" spans="1:22" s="21" customFormat="1" x14ac:dyDescent="0.45">
      <c r="A184" s="21">
        <v>80</v>
      </c>
      <c r="B184" s="21">
        <v>4</v>
      </c>
      <c r="C184" s="21">
        <f t="shared" si="38"/>
        <v>4.4720000000000004</v>
      </c>
      <c r="D184" s="21">
        <v>4.0000000000000001E-3</v>
      </c>
      <c r="E184" s="21">
        <v>3.7035700000000002E-3</v>
      </c>
      <c r="F184" s="22">
        <v>2.2000000000000001E-6</v>
      </c>
      <c r="G184" s="22">
        <v>30.731999999999999</v>
      </c>
      <c r="H184" s="23">
        <v>6.3E-5</v>
      </c>
      <c r="I184" s="23"/>
      <c r="J184" s="24">
        <f t="shared" si="39"/>
        <v>4.8911514599999997</v>
      </c>
      <c r="K184" s="24">
        <f t="shared" si="40"/>
        <v>0.89115145999999967</v>
      </c>
      <c r="L184" s="25">
        <f t="shared" si="41"/>
        <v>0.22278786499999992</v>
      </c>
      <c r="M184" s="24">
        <f t="shared" si="42"/>
        <v>0.41915145999999925</v>
      </c>
      <c r="N184" s="25">
        <f t="shared" si="43"/>
        <v>9.37279651162789E-2</v>
      </c>
      <c r="O184" s="24"/>
      <c r="P184" s="22"/>
      <c r="R184" s="22"/>
      <c r="S184" s="26"/>
      <c r="T184" s="27"/>
      <c r="U184" s="25">
        <f>(Table3[[#This Row],[Actual Amplitude (m)]]-Table3[[#This Row],[Target Amplitude (m)]])/Table3[[#This Row],[Target Amplitude (m)]]</f>
        <v>-7.4107499999999965E-2</v>
      </c>
    </row>
    <row r="185" spans="1:22" x14ac:dyDescent="0.45">
      <c r="A185">
        <v>81</v>
      </c>
      <c r="B185">
        <v>5</v>
      </c>
      <c r="C185">
        <f t="shared" si="38"/>
        <v>5.5900000000000007</v>
      </c>
      <c r="D185">
        <v>4.0000000000000001E-3</v>
      </c>
      <c r="E185">
        <v>3.7346900000000001E-3</v>
      </c>
      <c r="F185" s="5">
        <v>1.9999999999999999E-6</v>
      </c>
      <c r="G185" s="5">
        <v>38.268599999999999</v>
      </c>
      <c r="H185" s="6">
        <v>4.6999999999999997E-5</v>
      </c>
      <c r="I185" s="6">
        <v>8.7600000000000002E-5</v>
      </c>
      <c r="J185" s="1">
        <f t="shared" si="39"/>
        <v>6.0906390329999995</v>
      </c>
      <c r="K185" s="1">
        <f t="shared" si="40"/>
        <v>1.0906390329999995</v>
      </c>
      <c r="L185" s="2">
        <f t="shared" si="41"/>
        <v>0.21812780659999992</v>
      </c>
      <c r="M185" s="1">
        <f t="shared" si="42"/>
        <v>0.50063903299999879</v>
      </c>
      <c r="N185" s="2">
        <f t="shared" si="43"/>
        <v>8.9559755456171508E-2</v>
      </c>
      <c r="O185" s="1"/>
      <c r="R185" s="5"/>
      <c r="S185" s="9"/>
      <c r="T185" s="10"/>
      <c r="U185" s="2">
        <f>(Table3[[#This Row],[Actual Amplitude (m)]]-Table3[[#This Row],[Target Amplitude (m)]])/Table3[[#This Row],[Target Amplitude (m)]]</f>
        <v>-6.6327499999999984E-2</v>
      </c>
    </row>
    <row r="186" spans="1:22" s="21" customFormat="1" x14ac:dyDescent="0.45">
      <c r="A186" s="21">
        <v>82</v>
      </c>
      <c r="B186" s="21">
        <v>5</v>
      </c>
      <c r="C186" s="21">
        <f t="shared" si="38"/>
        <v>5.5900000000000007</v>
      </c>
      <c r="D186" s="21">
        <v>3.5000000000000001E-3</v>
      </c>
      <c r="E186" s="21">
        <v>3.3279099999999999E-3</v>
      </c>
      <c r="F186" s="22">
        <v>1.3999999999999999E-6</v>
      </c>
      <c r="G186" s="22">
        <v>38.610700000000001</v>
      </c>
      <c r="H186" s="23">
        <v>2.5000000000000001E-5</v>
      </c>
      <c r="I186" s="23">
        <v>7.27E-4</v>
      </c>
      <c r="J186" s="24">
        <f t="shared" si="39"/>
        <v>6.1450859585000002</v>
      </c>
      <c r="K186" s="24">
        <f t="shared" si="40"/>
        <v>1.1450859585000002</v>
      </c>
      <c r="L186" s="25">
        <f t="shared" si="41"/>
        <v>0.22901719170000004</v>
      </c>
      <c r="M186" s="24">
        <f t="shared" si="42"/>
        <v>0.55508595849999942</v>
      </c>
      <c r="N186" s="25">
        <f t="shared" si="43"/>
        <v>9.9299813685151936E-2</v>
      </c>
      <c r="O186" s="24"/>
      <c r="P186" s="22"/>
      <c r="R186" s="22"/>
      <c r="S186" s="26"/>
      <c r="T186" s="27"/>
      <c r="U186" s="25">
        <f>(Table3[[#This Row],[Actual Amplitude (m)]]-Table3[[#This Row],[Target Amplitude (m)]])/Table3[[#This Row],[Target Amplitude (m)]]</f>
        <v>-4.9168571428571478E-2</v>
      </c>
    </row>
    <row r="187" spans="1:22" x14ac:dyDescent="0.45">
      <c r="A187">
        <v>83</v>
      </c>
      <c r="B187">
        <v>5</v>
      </c>
      <c r="C187">
        <f t="shared" si="38"/>
        <v>5.5900000000000007</v>
      </c>
      <c r="D187">
        <v>0.02</v>
      </c>
      <c r="E187">
        <v>1.74856E-2</v>
      </c>
      <c r="F187" s="5">
        <v>1.5E-5</v>
      </c>
      <c r="G187" s="5">
        <v>27.630600000000001</v>
      </c>
      <c r="H187" s="6">
        <v>3.3000000000000003E-5</v>
      </c>
      <c r="I187" s="6">
        <v>1.01E-2</v>
      </c>
      <c r="J187" s="1">
        <f t="shared" si="39"/>
        <v>4.3975481429999999</v>
      </c>
      <c r="K187" s="1">
        <f t="shared" si="40"/>
        <v>-0.60245185700000015</v>
      </c>
      <c r="L187" s="2">
        <f t="shared" si="41"/>
        <v>-0.12049037140000003</v>
      </c>
      <c r="M187" s="1">
        <f t="shared" si="42"/>
        <v>-1.1924518570000009</v>
      </c>
      <c r="N187" s="2">
        <f t="shared" si="43"/>
        <v>-0.21331875796064415</v>
      </c>
      <c r="O187" s="1"/>
      <c r="R187" s="5"/>
      <c r="S187" s="9"/>
      <c r="T187" s="10"/>
      <c r="U187" s="2">
        <f>(Table3[[#This Row],[Actual Amplitude (m)]]-Table3[[#This Row],[Target Amplitude (m)]])/Table3[[#This Row],[Target Amplitude (m)]]</f>
        <v>-0.12572</v>
      </c>
    </row>
    <row r="188" spans="1:22" s="14" customFormat="1" x14ac:dyDescent="0.45">
      <c r="A188" s="14">
        <v>84</v>
      </c>
      <c r="B188" s="14">
        <v>5</v>
      </c>
      <c r="C188" s="14">
        <f t="shared" si="38"/>
        <v>5.5900000000000007</v>
      </c>
      <c r="D188" s="14">
        <v>1.4999999999999999E-2</v>
      </c>
      <c r="E188" s="14">
        <v>1.38669E-2</v>
      </c>
      <c r="F188" s="15">
        <v>7.6000000000000001E-6</v>
      </c>
      <c r="G188" s="15">
        <v>32.284199999999998</v>
      </c>
      <c r="H188" s="16">
        <v>4.8999999999999998E-5</v>
      </c>
      <c r="I188" s="16">
        <v>3.3700000000000001E-4</v>
      </c>
      <c r="J188" s="17">
        <f t="shared" si="39"/>
        <v>5.1381918509999993</v>
      </c>
      <c r="K188" s="17">
        <f t="shared" si="40"/>
        <v>0.13819185099999931</v>
      </c>
      <c r="L188" s="18">
        <f t="shared" si="41"/>
        <v>2.7638370199999863E-2</v>
      </c>
      <c r="M188" s="17">
        <f t="shared" si="42"/>
        <v>-0.45180814900000144</v>
      </c>
      <c r="N188" s="18">
        <f t="shared" si="43"/>
        <v>-8.0824355813953738E-2</v>
      </c>
      <c r="O188" s="17"/>
      <c r="P188" s="15"/>
      <c r="R188" s="15"/>
      <c r="S188" s="19"/>
      <c r="T188" s="20"/>
      <c r="U188" s="18">
        <f>(Table3[[#This Row],[Actual Amplitude (m)]]-Table3[[#This Row],[Target Amplitude (m)]])/Table3[[#This Row],[Target Amplitude (m)]]</f>
        <v>-7.5539999999999982E-2</v>
      </c>
    </row>
    <row r="189" spans="1:22" s="21" customFormat="1" x14ac:dyDescent="0.45">
      <c r="A189" s="21">
        <v>85</v>
      </c>
      <c r="B189" s="21">
        <v>7</v>
      </c>
      <c r="C189" s="21">
        <f t="shared" si="38"/>
        <v>7.8260000000000005</v>
      </c>
      <c r="D189" s="21">
        <v>3.5000000000000001E-3</v>
      </c>
      <c r="E189" s="21">
        <v>3.4521500000000002E-3</v>
      </c>
      <c r="F189" s="22">
        <v>1.9E-6</v>
      </c>
      <c r="G189" s="22">
        <v>53.807099999999998</v>
      </c>
      <c r="H189" s="23">
        <v>7.4999999999999993E-5</v>
      </c>
      <c r="I189" s="23">
        <v>6.9400000000000006E-5</v>
      </c>
      <c r="J189" s="24">
        <f t="shared" si="39"/>
        <v>8.5636690004999991</v>
      </c>
      <c r="K189" s="24">
        <f t="shared" si="40"/>
        <v>1.5636690004999991</v>
      </c>
      <c r="L189" s="25">
        <f t="shared" si="41"/>
        <v>0.22338128578571417</v>
      </c>
      <c r="M189" s="24">
        <f t="shared" si="42"/>
        <v>0.73766900049999862</v>
      </c>
      <c r="N189" s="25">
        <f t="shared" si="43"/>
        <v>9.4258752938921359E-2</v>
      </c>
      <c r="O189" s="24"/>
      <c r="P189" s="22"/>
      <c r="R189" s="22"/>
      <c r="S189" s="26"/>
      <c r="T189" s="27"/>
      <c r="U189" s="25">
        <f>(Table3[[#This Row],[Actual Amplitude (m)]]-Table3[[#This Row],[Target Amplitude (m)]])/Table3[[#This Row],[Target Amplitude (m)]]</f>
        <v>-1.3671428571428539E-2</v>
      </c>
    </row>
    <row r="190" spans="1:22" x14ac:dyDescent="0.45">
      <c r="A190">
        <v>86</v>
      </c>
      <c r="B190">
        <v>7</v>
      </c>
      <c r="C190">
        <f t="shared" si="38"/>
        <v>7.8260000000000005</v>
      </c>
      <c r="D190">
        <v>3.0000000000000001E-3</v>
      </c>
      <c r="E190">
        <v>2.9268200000000001E-3</v>
      </c>
      <c r="F190" s="5">
        <v>1.9E-6</v>
      </c>
      <c r="G190" s="5">
        <v>54.386200000000002</v>
      </c>
      <c r="H190" s="6">
        <v>8.5000000000000006E-5</v>
      </c>
      <c r="I190" s="6">
        <v>7.1600000000000006E-5</v>
      </c>
      <c r="J190" s="1">
        <f t="shared" si="39"/>
        <v>8.6558356609999993</v>
      </c>
      <c r="K190" s="1">
        <f t="shared" si="40"/>
        <v>1.6558356609999993</v>
      </c>
      <c r="L190" s="2">
        <f t="shared" si="41"/>
        <v>0.23654795157142847</v>
      </c>
      <c r="M190" s="1">
        <f t="shared" si="42"/>
        <v>0.82983566099999884</v>
      </c>
      <c r="N190" s="2">
        <f t="shared" si="43"/>
        <v>0.10603573485816493</v>
      </c>
      <c r="O190" s="1"/>
      <c r="R190" s="5"/>
      <c r="S190" s="9"/>
      <c r="T190" s="10"/>
      <c r="U190" s="2">
        <f>(Table3[[#This Row],[Actual Amplitude (m)]]-Table3[[#This Row],[Target Amplitude (m)]])/Table3[[#This Row],[Target Amplitude (m)]]</f>
        <v>-2.4393333333333315E-2</v>
      </c>
    </row>
    <row r="191" spans="1:22" x14ac:dyDescent="0.45">
      <c r="A191">
        <v>87</v>
      </c>
      <c r="B191">
        <v>7</v>
      </c>
      <c r="C191">
        <f t="shared" si="38"/>
        <v>7.8260000000000005</v>
      </c>
      <c r="D191">
        <v>1.4999999999999999E-2</v>
      </c>
      <c r="E191">
        <v>1.3044999999999999E-2</v>
      </c>
      <c r="F191" s="5">
        <v>1.5E-5</v>
      </c>
      <c r="G191" s="5">
        <v>37.490900000000003</v>
      </c>
      <c r="H191" s="6">
        <v>4.8000000000000001E-5</v>
      </c>
      <c r="I191" s="6">
        <v>9.5E-4</v>
      </c>
      <c r="J191" s="1">
        <f t="shared" si="39"/>
        <v>5.9668641894999999</v>
      </c>
      <c r="K191" s="1">
        <f t="shared" si="40"/>
        <v>-1.0331358105000001</v>
      </c>
      <c r="L191" s="2">
        <f t="shared" si="41"/>
        <v>-0.14759083007142859</v>
      </c>
      <c r="M191" s="1">
        <f t="shared" si="42"/>
        <v>-1.8591358105000007</v>
      </c>
      <c r="N191" s="2">
        <f t="shared" si="43"/>
        <v>-0.23755888199591113</v>
      </c>
      <c r="O191" s="1"/>
      <c r="R191" s="5"/>
      <c r="S191" s="9"/>
      <c r="T191" s="10"/>
      <c r="U191" s="2">
        <f>(Table3[[#This Row],[Actual Amplitude (m)]]-Table3[[#This Row],[Target Amplitude (m)]])/Table3[[#This Row],[Target Amplitude (m)]]</f>
        <v>-0.13033333333333336</v>
      </c>
    </row>
    <row r="192" spans="1:22" s="14" customFormat="1" x14ac:dyDescent="0.45">
      <c r="A192" s="14">
        <v>88</v>
      </c>
      <c r="B192" s="14">
        <v>7</v>
      </c>
      <c r="C192" s="14">
        <f t="shared" si="38"/>
        <v>7.8260000000000005</v>
      </c>
      <c r="D192" s="14">
        <v>0.01</v>
      </c>
      <c r="E192" s="14">
        <v>9.5583400000000002E-3</v>
      </c>
      <c r="F192" s="15">
        <v>4.6999999999999999E-6</v>
      </c>
      <c r="G192" s="15">
        <v>46.894799999999996</v>
      </c>
      <c r="H192" s="16">
        <v>4.1999999999999998E-5</v>
      </c>
      <c r="I192" s="16">
        <v>2.0900000000000001E-4</v>
      </c>
      <c r="J192" s="17">
        <f t="shared" si="39"/>
        <v>7.4635418939999987</v>
      </c>
      <c r="K192" s="17">
        <f t="shared" si="40"/>
        <v>0.46354189399999868</v>
      </c>
      <c r="L192" s="18">
        <f t="shared" si="41"/>
        <v>6.6220270571428388E-2</v>
      </c>
      <c r="M192" s="17">
        <f t="shared" si="42"/>
        <v>-0.36245810600000183</v>
      </c>
      <c r="N192" s="18">
        <f t="shared" si="43"/>
        <v>-4.6314605928954998E-2</v>
      </c>
      <c r="O192" s="17"/>
      <c r="P192" s="15"/>
      <c r="R192" s="15"/>
      <c r="S192" s="19"/>
      <c r="T192" s="20"/>
      <c r="U192" s="18">
        <f>(Table3[[#This Row],[Actual Amplitude (m)]]-Table3[[#This Row],[Target Amplitude (m)]])/Table3[[#This Row],[Target Amplitude (m)]]</f>
        <v>-4.4165999999999997E-2</v>
      </c>
    </row>
    <row r="193" spans="1:27" x14ac:dyDescent="0.45">
      <c r="A193">
        <v>89</v>
      </c>
      <c r="B193">
        <v>9</v>
      </c>
      <c r="C193">
        <f t="shared" si="38"/>
        <v>10.062000000000001</v>
      </c>
      <c r="D193">
        <v>0.01</v>
      </c>
      <c r="E193">
        <v>7.5535699999999999E-3</v>
      </c>
      <c r="F193" s="5">
        <v>1.8E-5</v>
      </c>
      <c r="G193" s="5">
        <v>53.4482</v>
      </c>
      <c r="H193" s="6">
        <v>1.9000000000000001E-4</v>
      </c>
      <c r="I193" s="6">
        <v>8.3199999999999995E-4</v>
      </c>
      <c r="J193" s="1">
        <f t="shared" si="39"/>
        <v>8.5065482709999998</v>
      </c>
      <c r="K193" s="1">
        <f t="shared" si="40"/>
        <v>-0.49345172900000023</v>
      </c>
      <c r="L193" s="2">
        <f t="shared" si="41"/>
        <v>-5.4827969888888911E-2</v>
      </c>
      <c r="M193" s="1">
        <f t="shared" si="42"/>
        <v>-1.5554517290000014</v>
      </c>
      <c r="N193" s="2">
        <f t="shared" si="43"/>
        <v>-0.15458673514211899</v>
      </c>
      <c r="O193" s="1"/>
      <c r="R193" s="5"/>
      <c r="S193" s="9"/>
      <c r="T193" s="10"/>
      <c r="U193" s="2">
        <f>(Table3[[#This Row],[Actual Amplitude (m)]]-Table3[[#This Row],[Target Amplitude (m)]])/Table3[[#This Row],[Target Amplitude (m)]]</f>
        <v>-0.24464300000000003</v>
      </c>
      <c r="V193" t="s">
        <v>38</v>
      </c>
    </row>
    <row r="194" spans="1:27" s="14" customFormat="1" x14ac:dyDescent="0.45">
      <c r="A194" s="14">
        <v>90</v>
      </c>
      <c r="B194" s="14">
        <v>9</v>
      </c>
      <c r="C194" s="14">
        <f t="shared" si="38"/>
        <v>10.062000000000001</v>
      </c>
      <c r="D194" s="14">
        <v>8.9999999999999993E-3</v>
      </c>
      <c r="E194" s="14">
        <v>7.6119300000000003E-3</v>
      </c>
      <c r="F194" s="15">
        <v>2.0999999999999999E-5</v>
      </c>
      <c r="G194" s="15">
        <v>56.911999999999999</v>
      </c>
      <c r="H194" s="16">
        <v>2.9E-4</v>
      </c>
      <c r="I194" s="16">
        <v>8.4800000000000001E-4</v>
      </c>
      <c r="J194" s="17">
        <f t="shared" si="39"/>
        <v>9.0578293599999995</v>
      </c>
      <c r="K194" s="17">
        <f t="shared" si="40"/>
        <v>5.7829359999999497E-2</v>
      </c>
      <c r="L194" s="18">
        <f t="shared" si="41"/>
        <v>6.4254844444443888E-3</v>
      </c>
      <c r="M194" s="17">
        <f t="shared" si="42"/>
        <v>-1.0041706400000017</v>
      </c>
      <c r="N194" s="28">
        <f t="shared" si="43"/>
        <v>-9.9798314450407627E-2</v>
      </c>
      <c r="O194" s="17"/>
      <c r="P194" s="15"/>
      <c r="R194" s="15"/>
      <c r="S194" s="19"/>
      <c r="T194" s="20"/>
      <c r="U194" s="18">
        <f>(Table3[[#This Row],[Actual Amplitude (m)]]-Table3[[#This Row],[Target Amplitude (m)]])/Table3[[#This Row],[Target Amplitude (m)]]</f>
        <v>-0.15422999999999989</v>
      </c>
    </row>
    <row r="195" spans="1:27" x14ac:dyDescent="0.45">
      <c r="A195">
        <v>91</v>
      </c>
      <c r="B195">
        <v>9</v>
      </c>
      <c r="C195">
        <f t="shared" si="38"/>
        <v>10.062000000000001</v>
      </c>
      <c r="D195">
        <v>3.0000000000000001E-3</v>
      </c>
      <c r="E195">
        <v>3.1729599999999998E-3</v>
      </c>
      <c r="F195" s="5">
        <v>3.5999999999999998E-6</v>
      </c>
      <c r="G195" s="5">
        <v>69.553200000000004</v>
      </c>
      <c r="H195" s="6">
        <v>1.9000000000000001E-4</v>
      </c>
      <c r="I195" s="6">
        <v>1.1E-4</v>
      </c>
      <c r="J195" s="1">
        <f t="shared" si="39"/>
        <v>11.069739545999999</v>
      </c>
      <c r="K195" s="1">
        <f t="shared" si="40"/>
        <v>2.0697395459999992</v>
      </c>
      <c r="L195" s="2">
        <f t="shared" si="41"/>
        <v>0.22997106066666659</v>
      </c>
      <c r="M195" s="1">
        <f t="shared" si="42"/>
        <v>1.007739545999998</v>
      </c>
      <c r="N195" s="13">
        <f t="shared" si="43"/>
        <v>0.10015300596302901</v>
      </c>
      <c r="O195" s="1"/>
      <c r="R195" s="5"/>
      <c r="S195" s="9"/>
      <c r="T195" s="10"/>
      <c r="U195" s="2">
        <f>(Table3[[#This Row],[Actual Amplitude (m)]]-Table3[[#This Row],[Target Amplitude (m)]])/Table3[[#This Row],[Target Amplitude (m)]]</f>
        <v>5.7653333333333258E-2</v>
      </c>
    </row>
    <row r="196" spans="1:27" s="21" customFormat="1" x14ac:dyDescent="0.45">
      <c r="A196" s="21">
        <v>92</v>
      </c>
      <c r="B196" s="21">
        <v>9</v>
      </c>
      <c r="C196" s="21">
        <f t="shared" si="38"/>
        <v>10.062000000000001</v>
      </c>
      <c r="D196" s="21">
        <v>3.5000000000000001E-3</v>
      </c>
      <c r="E196" s="21">
        <v>3.7163000000000001E-3</v>
      </c>
      <c r="F196" s="22">
        <v>5.2000000000000002E-6</v>
      </c>
      <c r="G196" s="22">
        <v>68.642499999999998</v>
      </c>
      <c r="H196" s="23">
        <v>4.4000000000000002E-4</v>
      </c>
      <c r="I196" s="23">
        <v>1.21E-4</v>
      </c>
      <c r="J196" s="24">
        <f t="shared" si="39"/>
        <v>10.924797087499998</v>
      </c>
      <c r="K196" s="24">
        <f t="shared" si="40"/>
        <v>1.9247970874999982</v>
      </c>
      <c r="L196" s="25">
        <f t="shared" si="41"/>
        <v>0.21386634305555535</v>
      </c>
      <c r="M196" s="24">
        <f t="shared" si="42"/>
        <v>0.86279708749999706</v>
      </c>
      <c r="N196" s="25">
        <f t="shared" si="43"/>
        <v>8.5748070711587854E-2</v>
      </c>
      <c r="O196" s="24"/>
      <c r="P196" s="22"/>
      <c r="R196" s="22"/>
      <c r="S196" s="26"/>
      <c r="T196" s="27"/>
      <c r="U196" s="25">
        <f>(Table3[[#This Row],[Actual Amplitude (m)]]-Table3[[#This Row],[Target Amplitude (m)]])/Table3[[#This Row],[Target Amplitude (m)]]</f>
        <v>6.1800000000000001E-2</v>
      </c>
    </row>
    <row r="197" spans="1:27" s="21" customFormat="1" x14ac:dyDescent="0.45">
      <c r="A197" s="21">
        <v>93</v>
      </c>
      <c r="B197" s="21">
        <v>1</v>
      </c>
      <c r="C197" s="21">
        <f t="shared" si="38"/>
        <v>1.1180000000000001</v>
      </c>
      <c r="D197" s="21">
        <v>5.0000000000000001E-3</v>
      </c>
      <c r="E197" s="21">
        <v>4.6482099999999998E-3</v>
      </c>
      <c r="F197" s="22">
        <v>2.7E-6</v>
      </c>
      <c r="G197" s="22">
        <v>7.6630099999999999</v>
      </c>
      <c r="H197" s="23">
        <v>1E-4</v>
      </c>
      <c r="I197" s="23">
        <v>8.7499999999999999E-5</v>
      </c>
      <c r="J197" s="24">
        <f t="shared" si="39"/>
        <v>1.2196063565499999</v>
      </c>
      <c r="K197" s="24">
        <f t="shared" si="40"/>
        <v>0.21960635654999994</v>
      </c>
      <c r="L197" s="25">
        <f t="shared" si="41"/>
        <v>0.21960635654999994</v>
      </c>
      <c r="M197" s="24">
        <f t="shared" si="42"/>
        <v>0.10160635654999983</v>
      </c>
      <c r="N197" s="25">
        <f t="shared" si="43"/>
        <v>9.0882250939176942E-2</v>
      </c>
      <c r="O197" s="24"/>
      <c r="P197" s="22"/>
      <c r="R197" s="22"/>
      <c r="S197" s="26"/>
      <c r="T197" s="27"/>
      <c r="U197" s="25">
        <f>(Table3[[#This Row],[Actual Amplitude (m)]]-Table3[[#This Row],[Target Amplitude (m)]])/Table3[[#This Row],[Target Amplitude (m)]]</f>
        <v>-7.0358000000000046E-2</v>
      </c>
    </row>
    <row r="198" spans="1:27" x14ac:dyDescent="0.45">
      <c r="A198">
        <v>94</v>
      </c>
      <c r="B198">
        <v>1</v>
      </c>
      <c r="C198">
        <f t="shared" si="38"/>
        <v>1.1180000000000001</v>
      </c>
      <c r="D198">
        <v>4.0000000000000001E-3</v>
      </c>
      <c r="E198">
        <v>3.6355699999999999E-3</v>
      </c>
      <c r="F198" s="5">
        <v>3.0000000000000001E-6</v>
      </c>
      <c r="G198" s="5">
        <v>7.7612199999999998</v>
      </c>
      <c r="H198" s="6">
        <v>1.1E-4</v>
      </c>
      <c r="I198" s="6">
        <v>1.1E-4</v>
      </c>
      <c r="J198" s="1">
        <f t="shared" si="39"/>
        <v>1.2352369690999998</v>
      </c>
      <c r="K198" s="1">
        <f t="shared" si="40"/>
        <v>0.2352369690999998</v>
      </c>
      <c r="L198" s="2">
        <f t="shared" si="41"/>
        <v>0.2352369690999998</v>
      </c>
      <c r="M198" s="1">
        <f t="shared" si="42"/>
        <v>0.1172369690999997</v>
      </c>
      <c r="N198" s="2">
        <f t="shared" si="43"/>
        <v>0.10486312084078685</v>
      </c>
      <c r="O198" s="1"/>
      <c r="R198" s="5"/>
      <c r="S198" s="9"/>
      <c r="T198" s="10"/>
      <c r="U198" s="2">
        <f>(Table3[[#This Row],[Actual Amplitude (m)]]-Table3[[#This Row],[Target Amplitude (m)]])/Table3[[#This Row],[Target Amplitude (m)]]</f>
        <v>-9.110750000000005E-2</v>
      </c>
    </row>
    <row r="199" spans="1:27" x14ac:dyDescent="0.45">
      <c r="A199">
        <v>95</v>
      </c>
      <c r="B199">
        <v>1</v>
      </c>
      <c r="C199">
        <f t="shared" si="38"/>
        <v>1.1180000000000001</v>
      </c>
      <c r="D199">
        <v>0.03</v>
      </c>
      <c r="E199">
        <v>2.6812300000000001E-2</v>
      </c>
      <c r="F199" s="5">
        <v>4.8999999999999998E-5</v>
      </c>
      <c r="G199" s="5">
        <v>7.0948399999999996</v>
      </c>
      <c r="H199" s="6">
        <v>1.9000000000000001E-4</v>
      </c>
      <c r="I199" s="6">
        <v>2.0200000000000001E-3</v>
      </c>
      <c r="J199" s="1">
        <f t="shared" si="39"/>
        <v>1.1291792601999999</v>
      </c>
      <c r="K199" s="1">
        <f t="shared" si="40"/>
        <v>0.12917926019999992</v>
      </c>
      <c r="L199" s="2">
        <f t="shared" si="41"/>
        <v>0.12917926019999992</v>
      </c>
      <c r="M199" s="1">
        <f t="shared" si="42"/>
        <v>1.1179260199999819E-2</v>
      </c>
      <c r="N199" s="2">
        <f t="shared" si="43"/>
        <v>9.9993382826474211E-3</v>
      </c>
      <c r="O199" s="1"/>
      <c r="R199" s="5"/>
      <c r="S199" s="9"/>
      <c r="T199" s="10"/>
      <c r="U199" s="2">
        <f>(Table3[[#This Row],[Actual Amplitude (m)]]-Table3[[#This Row],[Target Amplitude (m)]])/Table3[[#This Row],[Target Amplitude (m)]]</f>
        <v>-0.10625666666666661</v>
      </c>
    </row>
    <row r="200" spans="1:27" x14ac:dyDescent="0.45">
      <c r="A200">
        <v>96</v>
      </c>
      <c r="B200">
        <v>1</v>
      </c>
      <c r="C200">
        <f t="shared" si="38"/>
        <v>1.1180000000000001</v>
      </c>
      <c r="D200">
        <v>0.06</v>
      </c>
      <c r="E200">
        <v>5.6780999999999998E-2</v>
      </c>
      <c r="F200" s="5">
        <v>3.4E-5</v>
      </c>
      <c r="G200" s="5">
        <v>6.7479300000000002</v>
      </c>
      <c r="H200" s="6">
        <v>7.6000000000000004E-5</v>
      </c>
      <c r="I200" s="6">
        <v>1.23E-3</v>
      </c>
      <c r="J200" s="1">
        <f t="shared" si="39"/>
        <v>1.0739667991499999</v>
      </c>
      <c r="K200" s="1">
        <f t="shared" si="40"/>
        <v>7.3966799149999929E-2</v>
      </c>
      <c r="L200" s="2">
        <f t="shared" si="41"/>
        <v>7.3966799149999929E-2</v>
      </c>
      <c r="M200" s="1">
        <f t="shared" si="42"/>
        <v>-4.4033200850000176E-2</v>
      </c>
      <c r="N200" s="2">
        <f t="shared" si="43"/>
        <v>-3.9385689490161156E-2</v>
      </c>
      <c r="O200" s="1"/>
      <c r="R200" s="5"/>
      <c r="S200" s="9"/>
      <c r="T200" s="10"/>
      <c r="U200" s="2">
        <f>(Table3[[#This Row],[Actual Amplitude (m)]]-Table3[[#This Row],[Target Amplitude (m)]])/Table3[[#This Row],[Target Amplitude (m)]]</f>
        <v>-5.3649999999999996E-2</v>
      </c>
    </row>
    <row r="201" spans="1:27" x14ac:dyDescent="0.45">
      <c r="A201">
        <v>97</v>
      </c>
      <c r="B201">
        <v>1</v>
      </c>
      <c r="C201">
        <f t="shared" si="38"/>
        <v>1.1180000000000001</v>
      </c>
      <c r="D201">
        <v>0.09</v>
      </c>
      <c r="E201">
        <v>7.4499999999999997E-2</v>
      </c>
      <c r="F201">
        <v>1.5E-3</v>
      </c>
      <c r="G201" s="5">
        <v>5.7</v>
      </c>
      <c r="H201" s="6">
        <v>1.1999999999999999E-3</v>
      </c>
      <c r="I201" s="6">
        <v>4.0400000000000002E-3</v>
      </c>
      <c r="J201" s="1">
        <f t="shared" si="39"/>
        <v>0.90718350000000003</v>
      </c>
      <c r="K201" s="1">
        <f t="shared" si="40"/>
        <v>-9.2816499999999968E-2</v>
      </c>
      <c r="L201" s="2">
        <f t="shared" si="41"/>
        <v>-9.2816499999999968E-2</v>
      </c>
      <c r="M201" s="1">
        <f t="shared" si="42"/>
        <v>-0.21081650000000007</v>
      </c>
      <c r="N201" s="2">
        <f t="shared" si="43"/>
        <v>-0.1885657423971378</v>
      </c>
      <c r="O201" s="1"/>
      <c r="R201" s="5"/>
      <c r="S201" s="9"/>
      <c r="T201" s="10"/>
      <c r="U201" s="2">
        <f>(Table3[[#This Row],[Actual Amplitude (m)]]-Table3[[#This Row],[Target Amplitude (m)]])/Table3[[#This Row],[Target Amplitude (m)]]</f>
        <v>-0.17222222222222222</v>
      </c>
    </row>
    <row r="202" spans="1:27" x14ac:dyDescent="0.45">
      <c r="A202">
        <v>98</v>
      </c>
      <c r="B202">
        <v>1</v>
      </c>
      <c r="C202">
        <f t="shared" si="38"/>
        <v>1.1180000000000001</v>
      </c>
      <c r="D202">
        <v>7.4999999999999997E-2</v>
      </c>
      <c r="E202">
        <v>6.0249999999999998E-2</v>
      </c>
      <c r="F202" s="5">
        <v>1.2999999999999999E-4</v>
      </c>
      <c r="G202" s="5">
        <v>6.2539999999999996</v>
      </c>
      <c r="H202" s="6">
        <v>2.9999999999999997E-4</v>
      </c>
      <c r="I202" s="6">
        <v>4.7999999999999996E-3</v>
      </c>
      <c r="J202" s="1">
        <f t="shared" si="39"/>
        <v>0.99535536999999985</v>
      </c>
      <c r="K202" s="1">
        <f t="shared" si="40"/>
        <v>-4.6446300000001495E-3</v>
      </c>
      <c r="L202" s="2">
        <f t="shared" si="41"/>
        <v>-4.6446300000001495E-3</v>
      </c>
      <c r="M202" s="1">
        <f t="shared" si="42"/>
        <v>-0.12264463000000025</v>
      </c>
      <c r="N202" s="2">
        <f t="shared" si="43"/>
        <v>-0.1097000268336317</v>
      </c>
      <c r="O202" s="1"/>
      <c r="R202" s="5"/>
      <c r="S202" s="9"/>
      <c r="T202" s="10"/>
      <c r="U202" s="2">
        <f>(Table3[[#This Row],[Actual Amplitude (m)]]-Table3[[#This Row],[Target Amplitude (m)]])/Table3[[#This Row],[Target Amplitude (m)]]</f>
        <v>-0.19666666666666666</v>
      </c>
    </row>
    <row r="203" spans="1:27" x14ac:dyDescent="0.45">
      <c r="A203">
        <v>99</v>
      </c>
      <c r="B203">
        <v>1</v>
      </c>
      <c r="C203">
        <f t="shared" si="38"/>
        <v>1.1180000000000001</v>
      </c>
      <c r="D203">
        <v>7.0000000000000007E-2</v>
      </c>
      <c r="E203">
        <v>5.7488999999999998E-2</v>
      </c>
      <c r="F203" s="5">
        <v>1.2E-4</v>
      </c>
      <c r="G203" s="5">
        <v>6.4288999999999996</v>
      </c>
      <c r="H203" s="6">
        <v>2.4000000000000001E-4</v>
      </c>
      <c r="I203" s="6">
        <v>4.8300000000000001E-3</v>
      </c>
      <c r="J203" s="1">
        <f t="shared" si="39"/>
        <v>1.0231915794999999</v>
      </c>
      <c r="K203" s="1">
        <f t="shared" si="40"/>
        <v>2.3191579499999948E-2</v>
      </c>
      <c r="L203" s="2">
        <f t="shared" si="41"/>
        <v>2.3191579499999948E-2</v>
      </c>
      <c r="M203" s="1">
        <f t="shared" si="42"/>
        <v>-9.4808420500000157E-2</v>
      </c>
      <c r="N203" s="2">
        <f t="shared" si="43"/>
        <v>-8.4801807245080629E-2</v>
      </c>
      <c r="O203" s="1"/>
      <c r="R203" s="5"/>
      <c r="S203" s="9"/>
      <c r="T203" s="10"/>
      <c r="U203" s="2">
        <f>(Table3[[#This Row],[Actual Amplitude (m)]]-Table3[[#This Row],[Target Amplitude (m)]])/Table3[[#This Row],[Target Amplitude (m)]]</f>
        <v>-0.17872857142857154</v>
      </c>
      <c r="V203" t="s">
        <v>41</v>
      </c>
    </row>
    <row r="204" spans="1:27" s="14" customFormat="1" x14ac:dyDescent="0.45">
      <c r="A204" s="14">
        <v>100</v>
      </c>
      <c r="B204" s="14">
        <v>4</v>
      </c>
      <c r="C204" s="14">
        <f t="shared" si="38"/>
        <v>4.4720000000000004</v>
      </c>
      <c r="D204" s="14">
        <v>1.9E-2</v>
      </c>
      <c r="E204" s="14">
        <v>1.7364000000000001E-2</v>
      </c>
      <c r="F204" s="15">
        <v>1.2999999999999999E-5</v>
      </c>
      <c r="G204" s="15">
        <v>25.611499999999999</v>
      </c>
      <c r="H204" s="16">
        <v>1.2E-4</v>
      </c>
      <c r="I204" s="16">
        <v>4.3299999999999996E-3</v>
      </c>
      <c r="J204" s="17">
        <f t="shared" si="39"/>
        <v>4.0761982825</v>
      </c>
      <c r="K204" s="17">
        <f t="shared" si="40"/>
        <v>7.6198282500000047E-2</v>
      </c>
      <c r="L204" s="18">
        <f t="shared" si="41"/>
        <v>1.9049570625000012E-2</v>
      </c>
      <c r="M204" s="17">
        <f t="shared" si="42"/>
        <v>-0.39580171750000037</v>
      </c>
      <c r="N204" s="18">
        <f t="shared" si="43"/>
        <v>-8.8506645237030487E-2</v>
      </c>
      <c r="O204" s="17"/>
      <c r="P204" s="15"/>
      <c r="R204" s="15"/>
      <c r="S204" s="19"/>
      <c r="T204" s="20"/>
      <c r="U204" s="31">
        <f>(AVERAGE(E204:E214)-Table3[[#This Row],[Target Amplitude (m)]])/Table3[[#This Row],[Target Amplitude (m)]]</f>
        <v>4.3133918128654816E-2</v>
      </c>
    </row>
    <row r="205" spans="1:27" s="14" customFormat="1" x14ac:dyDescent="0.45">
      <c r="A205" s="14">
        <v>101</v>
      </c>
      <c r="B205" s="14">
        <v>1</v>
      </c>
      <c r="C205" s="14">
        <f t="shared" si="38"/>
        <v>1.1180000000000001</v>
      </c>
      <c r="D205" s="14">
        <v>7.0000000000000007E-2</v>
      </c>
      <c r="E205" s="14">
        <v>6.3657099999999994E-2</v>
      </c>
      <c r="F205" s="15">
        <v>4.1999999999999998E-5</v>
      </c>
      <c r="G205" s="15">
        <v>6.4286599999999998</v>
      </c>
      <c r="H205" s="16">
        <v>5.1E-5</v>
      </c>
      <c r="I205" s="16">
        <v>2E-3</v>
      </c>
      <c r="J205" s="17">
        <f t="shared" si="39"/>
        <v>1.0231533822999999</v>
      </c>
      <c r="K205" s="17">
        <f t="shared" si="40"/>
        <v>2.3153382299999858E-2</v>
      </c>
      <c r="L205" s="18">
        <f t="shared" si="41"/>
        <v>2.3153382299999858E-2</v>
      </c>
      <c r="M205" s="17">
        <f t="shared" si="42"/>
        <v>-9.4846617700000246E-2</v>
      </c>
      <c r="N205" s="18">
        <f t="shared" si="43"/>
        <v>-8.4835972898032408E-2</v>
      </c>
      <c r="O205" s="17"/>
      <c r="P205" s="15"/>
      <c r="R205" s="15"/>
      <c r="S205" s="19"/>
      <c r="T205" s="20"/>
      <c r="U205" s="31">
        <f>(AVERAGE(E205:E214)-Table3[[#This Row],[Target Amplitude (m)]])/Table3[[#This Row],[Target Amplitude (m)]]</f>
        <v>-0.71247875000000005</v>
      </c>
      <c r="V205" s="14" t="s">
        <v>48</v>
      </c>
    </row>
    <row r="206" spans="1:27" x14ac:dyDescent="0.45">
      <c r="A206">
        <v>102</v>
      </c>
      <c r="B206">
        <v>1</v>
      </c>
      <c r="C206" s="14">
        <f t="shared" si="38"/>
        <v>1.1180000000000001</v>
      </c>
      <c r="D206">
        <v>7.0000000000000007E-2</v>
      </c>
      <c r="E206">
        <v>6.6182099999999994E-2</v>
      </c>
      <c r="F206" s="5">
        <v>3.3200000000000001E-5</v>
      </c>
      <c r="G206" s="5">
        <v>6.4282300000000001</v>
      </c>
      <c r="H206" s="6">
        <v>5.0000000000000002E-5</v>
      </c>
      <c r="I206" s="6">
        <v>1.32E-3</v>
      </c>
      <c r="J206" s="17">
        <f t="shared" si="39"/>
        <v>1.02308494565</v>
      </c>
      <c r="K206" s="17">
        <f t="shared" si="40"/>
        <v>2.3084945649999966E-2</v>
      </c>
      <c r="L206" s="18">
        <f t="shared" si="41"/>
        <v>2.3084945649999966E-2</v>
      </c>
      <c r="M206" s="17">
        <f t="shared" si="42"/>
        <v>-9.4915054350000139E-2</v>
      </c>
      <c r="N206" s="18">
        <f t="shared" si="43"/>
        <v>-8.4897186359570775E-2</v>
      </c>
      <c r="O206" s="1"/>
      <c r="R206" s="5"/>
      <c r="S206" s="9"/>
      <c r="T206" s="10"/>
      <c r="U206" s="31">
        <f>(AVERAGE(E206:E215)-Table3[[#This Row],[Target Amplitude (m)]])/Table3[[#This Row],[Target Amplitude (m)]]</f>
        <v>-0.80131673469387765</v>
      </c>
      <c r="V206" t="s">
        <v>49</v>
      </c>
    </row>
    <row r="207" spans="1:27" s="14" customFormat="1" x14ac:dyDescent="0.45">
      <c r="A207" s="14">
        <v>103</v>
      </c>
      <c r="B207" s="14">
        <v>15</v>
      </c>
      <c r="C207" s="14">
        <f t="shared" ref="C207:C212" si="44">B207*1.118</f>
        <v>16.770000000000003</v>
      </c>
      <c r="D207" s="14">
        <v>5.0000000000000001E-3</v>
      </c>
      <c r="E207" s="14">
        <v>4.9398000000000003E-3</v>
      </c>
      <c r="F207" s="15">
        <v>2.6999999999999999E-5</v>
      </c>
      <c r="G207" s="15">
        <v>99.432000000000002</v>
      </c>
      <c r="H207" s="16">
        <v>3.3E-3</v>
      </c>
      <c r="I207" s="16">
        <v>4.6000000000000001E-4</v>
      </c>
      <c r="J207" s="17">
        <f t="shared" ref="J207:J212" si="45">0.159155*G207</f>
        <v>15.825099959999999</v>
      </c>
      <c r="K207" s="17">
        <f>J207-B207</f>
        <v>0.8250999599999993</v>
      </c>
      <c r="L207" s="18">
        <f>K207/B207</f>
        <v>5.5006663999999955E-2</v>
      </c>
      <c r="M207" s="17">
        <f>J207-C207</f>
        <v>-0.94490004000000383</v>
      </c>
      <c r="N207" s="18">
        <f>M207/C207</f>
        <v>-5.6344665474061043E-2</v>
      </c>
      <c r="O207" s="17"/>
      <c r="P207" s="15"/>
      <c r="R207" s="15"/>
      <c r="S207" s="19"/>
      <c r="T207" s="20"/>
      <c r="U207" s="31">
        <f>(AVERAGE(E207:E209)-Table3[[#This Row],[Target Amplitude (m)]])/Table3[[#This Row],[Target Amplitude (m)]]</f>
        <v>0.14692666666666665</v>
      </c>
    </row>
    <row r="208" spans="1:27" x14ac:dyDescent="0.45">
      <c r="A208" s="44">
        <v>104</v>
      </c>
      <c r="B208" s="44">
        <v>15</v>
      </c>
      <c r="C208" s="44">
        <f t="shared" si="44"/>
        <v>16.770000000000003</v>
      </c>
      <c r="D208" s="44">
        <v>7.0000000000000001E-3</v>
      </c>
      <c r="E208" s="52">
        <v>9.7099999999999999E-3</v>
      </c>
      <c r="F208" s="44"/>
      <c r="G208" s="52">
        <v>162</v>
      </c>
      <c r="H208" s="46"/>
      <c r="I208" s="46"/>
      <c r="J208" s="17">
        <f t="shared" si="45"/>
        <v>25.783109999999997</v>
      </c>
      <c r="K208" s="47"/>
      <c r="L208" s="48"/>
      <c r="M208" s="52" t="s">
        <v>52</v>
      </c>
      <c r="N208" s="48"/>
      <c r="O208" s="47"/>
      <c r="P208" s="45"/>
      <c r="Q208" s="49"/>
      <c r="R208" s="45"/>
      <c r="S208" s="50"/>
      <c r="T208" s="51"/>
      <c r="U208" s="48">
        <f>(AVERAGE(E208:E210)-Table3[[#This Row],[Target Amplitude (m)]])/Table3[[#This Row],[Target Amplitude (m)]]</f>
        <v>-0.25617619047619045</v>
      </c>
      <c r="V208" s="52" t="s">
        <v>52</v>
      </c>
      <c r="Y208" t="s">
        <v>51</v>
      </c>
      <c r="AA208" s="55">
        <v>586254.5</v>
      </c>
    </row>
    <row r="209" spans="1:22" x14ac:dyDescent="0.45">
      <c r="A209" s="14">
        <v>105</v>
      </c>
      <c r="B209" s="14">
        <v>15</v>
      </c>
      <c r="C209" s="14">
        <f t="shared" si="44"/>
        <v>16.770000000000003</v>
      </c>
      <c r="D209" s="14">
        <v>2E-3</v>
      </c>
      <c r="E209" s="14">
        <v>2.5541000000000001E-3</v>
      </c>
      <c r="F209" s="5">
        <v>2.3E-5</v>
      </c>
      <c r="G209" s="5">
        <v>119.32</v>
      </c>
      <c r="H209" s="6">
        <v>1.9E-2</v>
      </c>
      <c r="I209" s="6">
        <v>2.3800000000000002E-3</v>
      </c>
      <c r="J209" s="1">
        <f t="shared" si="45"/>
        <v>18.990374599999999</v>
      </c>
      <c r="K209" s="1">
        <f>J209-B209</f>
        <v>3.9903745999999991</v>
      </c>
      <c r="L209" s="2">
        <f>K209/B209</f>
        <v>0.26602497333333325</v>
      </c>
      <c r="M209" s="1">
        <f>J209-C209</f>
        <v>2.220374599999996</v>
      </c>
      <c r="N209" s="2">
        <f>M209/C209</f>
        <v>0.13240158616577194</v>
      </c>
      <c r="O209" s="1"/>
      <c r="R209" s="5"/>
      <c r="S209" s="9"/>
      <c r="T209" s="10"/>
      <c r="U209" s="43">
        <f>(AVERAGE(E209:E211)-Table3[[#This Row],[Target Amplitude (m)]])/Table3[[#This Row],[Target Amplitude (m)]]</f>
        <v>0.65715000000000023</v>
      </c>
    </row>
    <row r="210" spans="1:22" x14ac:dyDescent="0.45">
      <c r="A210">
        <v>106</v>
      </c>
      <c r="B210">
        <v>15</v>
      </c>
      <c r="C210">
        <f t="shared" si="44"/>
        <v>16.770000000000003</v>
      </c>
      <c r="D210">
        <v>2.5000000000000001E-3</v>
      </c>
      <c r="E210">
        <v>3.3562000000000002E-3</v>
      </c>
      <c r="F210" s="5">
        <v>4.6999999999999997E-5</v>
      </c>
      <c r="G210" s="5">
        <v>116.29</v>
      </c>
      <c r="H210" s="6">
        <v>6.4000000000000003E-3</v>
      </c>
      <c r="I210" s="6">
        <v>9.0399999999999996E-4</v>
      </c>
      <c r="J210" s="1">
        <f t="shared" si="45"/>
        <v>18.508134949999999</v>
      </c>
      <c r="K210" s="1">
        <f>J210-B210</f>
        <v>3.5081349499999988</v>
      </c>
      <c r="L210" s="2">
        <f>K210/B210</f>
        <v>0.23387566333333326</v>
      </c>
      <c r="M210" s="1">
        <f>J210-C210</f>
        <v>1.7381349499999956</v>
      </c>
      <c r="N210" s="2">
        <f>M210/C210</f>
        <v>0.10364549493142489</v>
      </c>
      <c r="O210" s="1"/>
      <c r="R210" s="5"/>
      <c r="S210" s="9"/>
      <c r="T210" s="10"/>
      <c r="U210" s="43">
        <f>(AVERAGE(E210:E214)-Table3[[#This Row],[Target Amplitude (m)]])/Table3[[#This Row],[Target Amplitude (m)]]</f>
        <v>0.86250666666666653</v>
      </c>
    </row>
    <row r="211" spans="1:22" x14ac:dyDescent="0.45">
      <c r="A211">
        <v>107</v>
      </c>
      <c r="B211">
        <v>15</v>
      </c>
      <c r="C211">
        <f t="shared" si="44"/>
        <v>16.770000000000003</v>
      </c>
      <c r="D211">
        <v>3.0000000000000001E-3</v>
      </c>
      <c r="E211">
        <v>4.0325999999999999E-3</v>
      </c>
      <c r="F211" s="5">
        <v>4.8999999999999998E-5</v>
      </c>
      <c r="G211" s="5">
        <v>114.57</v>
      </c>
      <c r="H211" s="6">
        <v>5.3E-3</v>
      </c>
      <c r="I211" s="6">
        <v>9.6400000000000001E-4</v>
      </c>
      <c r="J211" s="1">
        <f t="shared" si="45"/>
        <v>18.234388349999996</v>
      </c>
      <c r="K211" s="1">
        <f>J211-B211</f>
        <v>3.2343883499999961</v>
      </c>
      <c r="L211" s="2">
        <f>K211/B211</f>
        <v>0.21562588999999974</v>
      </c>
      <c r="M211" s="1">
        <f>J211-C211</f>
        <v>1.464388349999993</v>
      </c>
      <c r="N211" s="2">
        <f>M211/C211</f>
        <v>8.7321905187834989E-2</v>
      </c>
      <c r="O211" s="1"/>
      <c r="R211" s="5"/>
      <c r="S211" s="9"/>
      <c r="T211" s="10"/>
      <c r="U211" s="43">
        <f>(AVERAGE(E211:E214)-Table3[[#This Row],[Target Amplitude (m)]])/Table3[[#This Row],[Target Amplitude (m)]]</f>
        <v>0.7687666666666666</v>
      </c>
    </row>
    <row r="212" spans="1:22" x14ac:dyDescent="0.45">
      <c r="A212">
        <v>108</v>
      </c>
      <c r="B212">
        <v>15</v>
      </c>
      <c r="C212">
        <f t="shared" si="44"/>
        <v>16.770000000000003</v>
      </c>
      <c r="D212">
        <v>5.0000000000000001E-3</v>
      </c>
      <c r="E212">
        <v>6.5799999999999999E-3</v>
      </c>
      <c r="F212" s="5">
        <v>4.6999999999999997E-5</v>
      </c>
      <c r="G212" s="5">
        <v>99.4</v>
      </c>
      <c r="H212" s="6"/>
      <c r="I212" s="6"/>
      <c r="J212" s="1">
        <f t="shared" si="45"/>
        <v>15.820007</v>
      </c>
      <c r="K212" s="1">
        <f>J212-B212</f>
        <v>0.82000700000000037</v>
      </c>
      <c r="L212" s="2">
        <f>K212/B212</f>
        <v>5.4667133333333361E-2</v>
      </c>
      <c r="M212" s="1">
        <f>J212-C212</f>
        <v>-0.94999300000000275</v>
      </c>
      <c r="N212" s="2">
        <f>M212/C212</f>
        <v>-5.6648360166964971E-2</v>
      </c>
      <c r="O212" s="1"/>
      <c r="R212" s="5"/>
      <c r="S212" s="9"/>
      <c r="T212" s="10"/>
      <c r="U212" s="43">
        <f>(AVERAGE(E212:E215)-Table3[[#This Row],[Target Amplitude (m)]])/Table3[[#This Row],[Target Amplitude (m)]]</f>
        <v>0.31599999999999995</v>
      </c>
      <c r="V212" t="s">
        <v>53</v>
      </c>
    </row>
    <row r="213" spans="1:22" x14ac:dyDescent="0.45">
      <c r="F213" s="5"/>
      <c r="G213" s="5"/>
      <c r="H213" s="6"/>
      <c r="I213" s="6"/>
      <c r="J213" s="1"/>
      <c r="K213" s="1"/>
      <c r="L213" s="2"/>
      <c r="M213" s="1"/>
      <c r="N213" s="2"/>
      <c r="O213" s="1"/>
      <c r="R213" s="5"/>
      <c r="S213" s="9"/>
      <c r="T213" s="10"/>
      <c r="U213" s="43"/>
    </row>
    <row r="214" spans="1:22" x14ac:dyDescent="0.45">
      <c r="A214" t="s">
        <v>66</v>
      </c>
      <c r="G214" s="7"/>
    </row>
    <row r="215" spans="1:22" x14ac:dyDescent="0.45">
      <c r="A215" t="s">
        <v>64</v>
      </c>
      <c r="G215" s="7"/>
      <c r="P215" s="5" t="s">
        <v>39</v>
      </c>
      <c r="Q215" s="5" t="s">
        <v>40</v>
      </c>
      <c r="S215" t="s">
        <v>47</v>
      </c>
    </row>
    <row r="216" spans="1:22" s="14" customFormat="1" x14ac:dyDescent="0.45">
      <c r="A216" s="12">
        <v>102</v>
      </c>
      <c r="B216" s="12">
        <v>1</v>
      </c>
      <c r="C216" s="37">
        <f>B216*1.118</f>
        <v>1.1180000000000001</v>
      </c>
      <c r="D216" s="12">
        <v>7.0000000000000007E-2</v>
      </c>
      <c r="E216" s="12">
        <v>6.6182099999999994E-2</v>
      </c>
      <c r="F216" s="40">
        <v>3.3200000000000001E-5</v>
      </c>
      <c r="G216" s="40">
        <v>6.4282300000000001</v>
      </c>
      <c r="H216" s="41">
        <v>5.0000000000000002E-5</v>
      </c>
      <c r="I216" s="41">
        <v>1.32E-3</v>
      </c>
      <c r="J216" s="38">
        <f>0.159155*G216</f>
        <v>1.02308494565</v>
      </c>
      <c r="K216" s="38">
        <f>J216-B216</f>
        <v>2.3084945649999966E-2</v>
      </c>
      <c r="L216" s="39">
        <f>K216/B216</f>
        <v>2.3084945649999966E-2</v>
      </c>
      <c r="M216" s="38">
        <f>J216-C216</f>
        <v>-9.4915054350000139E-2</v>
      </c>
      <c r="N216" s="39">
        <f>M216/C216</f>
        <v>-8.4897186359570775E-2</v>
      </c>
      <c r="O216" s="17"/>
      <c r="P216" s="15">
        <f>E216^2*G216^2</f>
        <v>0.18099388472888009</v>
      </c>
      <c r="Q216" s="14">
        <f>C216^2*D216^2</f>
        <v>6.1246276000000025E-3</v>
      </c>
      <c r="R216" s="15"/>
      <c r="S216" s="42">
        <f>E216^2*J216^2</f>
        <v>4.5846319367871839E-3</v>
      </c>
      <c r="T216" s="20"/>
      <c r="U216" s="18" t="e">
        <f>(Table3[[#This Row],[Actual Amplitude (m)]]-Table3[[#This Row],[Target Amplitude (m)]])/Table3[[#This Row],[Target Amplitude (m)]]</f>
        <v>#VALUE!</v>
      </c>
    </row>
    <row r="217" spans="1:22" s="14" customFormat="1" x14ac:dyDescent="0.45">
      <c r="A217" s="14">
        <v>72</v>
      </c>
      <c r="B217" s="14">
        <v>3</v>
      </c>
      <c r="C217" s="14">
        <f t="shared" ref="C217" si="46">B217*1.118</f>
        <v>3.3540000000000001</v>
      </c>
      <c r="D217" s="14">
        <v>2.5000000000000001E-2</v>
      </c>
      <c r="E217" s="29">
        <v>2.27884E-2</v>
      </c>
      <c r="F217" s="15">
        <v>1.2E-5</v>
      </c>
      <c r="G217" s="29">
        <v>19.242799999999999</v>
      </c>
      <c r="H217" s="16">
        <v>5.8E-5</v>
      </c>
      <c r="I217" s="16"/>
      <c r="J217" s="17">
        <f t="shared" ref="J217" si="47">0.159155*G217</f>
        <v>3.0625878339999995</v>
      </c>
      <c r="K217" s="17">
        <f t="shared" ref="K217" si="48">J217-B217</f>
        <v>6.2587833999999454E-2</v>
      </c>
      <c r="L217" s="18">
        <f t="shared" ref="L217" si="49">K217/B217</f>
        <v>2.0862611333333152E-2</v>
      </c>
      <c r="M217" s="17">
        <f t="shared" ref="M217" si="50">J217-C217</f>
        <v>-0.29141216600000064</v>
      </c>
      <c r="N217" s="18">
        <f t="shared" ref="N217" si="51">M217/C217</f>
        <v>-8.6884963029219026E-2</v>
      </c>
      <c r="O217" s="17"/>
      <c r="P217" s="15">
        <f t="shared" ref="P217:P221" si="52">E217^2*G217^2</f>
        <v>0.19229332098639323</v>
      </c>
      <c r="Q217" s="14">
        <f t="shared" ref="Q217:Q221" si="53">C217^2*D217^2</f>
        <v>7.0308225000000014E-3</v>
      </c>
      <c r="R217" s="15"/>
      <c r="S217" s="42">
        <f t="shared" ref="S217:S221" si="54">E217^2*J217^2</f>
        <v>4.8708502054954621E-3</v>
      </c>
      <c r="T217" s="20"/>
      <c r="U217" s="18" t="e">
        <f>(Table3[[#This Row],[Actual Amplitude (m)]]-Table3[[#This Row],[Target Amplitude (m)]])/Table3[[#This Row],[Target Amplitude (m)]]</f>
        <v>#VALUE!</v>
      </c>
    </row>
    <row r="218" spans="1:22" s="14" customFormat="1" x14ac:dyDescent="0.45">
      <c r="A218" s="32">
        <v>100</v>
      </c>
      <c r="B218" s="32">
        <v>4</v>
      </c>
      <c r="C218" s="32">
        <f t="shared" ref="C218:C223" si="55">B218*1.118</f>
        <v>4.4720000000000004</v>
      </c>
      <c r="D218" s="32">
        <v>1.9E-2</v>
      </c>
      <c r="E218" s="32">
        <v>1.7364000000000001E-2</v>
      </c>
      <c r="F218" s="33">
        <v>1.2999999999999999E-5</v>
      </c>
      <c r="G218" s="33">
        <v>25.611499999999999</v>
      </c>
      <c r="H218" s="34">
        <v>1.2E-4</v>
      </c>
      <c r="I218" s="34">
        <v>4.3299999999999996E-3</v>
      </c>
      <c r="J218" s="35">
        <f t="shared" ref="J218:J223" si="56">0.159155*G218</f>
        <v>4.0761982825</v>
      </c>
      <c r="K218" s="35">
        <f t="shared" ref="K218:K223" si="57">J218-B218</f>
        <v>7.6198282500000047E-2</v>
      </c>
      <c r="L218" s="36">
        <f t="shared" ref="L218:L223" si="58">K218/B218</f>
        <v>1.9049570625000012E-2</v>
      </c>
      <c r="M218" s="35">
        <f t="shared" ref="M218:M223" si="59">J218-C218</f>
        <v>-0.39580171750000037</v>
      </c>
      <c r="N218" s="36">
        <f t="shared" ref="N218:N223" si="60">M218/C218</f>
        <v>-8.8506645237030487E-2</v>
      </c>
      <c r="O218" s="17"/>
      <c r="P218" s="15">
        <f t="shared" si="52"/>
        <v>0.19777417601550343</v>
      </c>
      <c r="Q218" s="14">
        <f t="shared" si="53"/>
        <v>7.219561024000001E-3</v>
      </c>
      <c r="R218" s="15"/>
      <c r="S218" s="42">
        <f t="shared" si="54"/>
        <v>5.0096819845083249E-3</v>
      </c>
      <c r="T218" s="20"/>
      <c r="U218" s="18" t="e">
        <f>(Table3[[#This Row],[Actual Amplitude (m)]]-Table3[[#This Row],[Target Amplitude (m)]])/Table3[[#This Row],[Target Amplitude (m)]]</f>
        <v>#VALUE!</v>
      </c>
    </row>
    <row r="219" spans="1:22" s="14" customFormat="1" x14ac:dyDescent="0.45">
      <c r="A219" s="14">
        <v>84</v>
      </c>
      <c r="B219" s="14">
        <v>5</v>
      </c>
      <c r="C219" s="14">
        <f t="shared" si="55"/>
        <v>5.5900000000000007</v>
      </c>
      <c r="D219" s="14">
        <v>1.4999999999999999E-2</v>
      </c>
      <c r="E219" s="14">
        <v>1.38669E-2</v>
      </c>
      <c r="F219" s="15">
        <v>7.6000000000000001E-6</v>
      </c>
      <c r="G219" s="15">
        <v>32.284199999999998</v>
      </c>
      <c r="H219" s="16">
        <v>4.8999999999999998E-5</v>
      </c>
      <c r="I219" s="16">
        <v>3.3700000000000001E-4</v>
      </c>
      <c r="J219" s="17">
        <f t="shared" si="56"/>
        <v>5.1381918509999993</v>
      </c>
      <c r="K219" s="17">
        <f t="shared" si="57"/>
        <v>0.13819185099999931</v>
      </c>
      <c r="L219" s="18">
        <f t="shared" si="58"/>
        <v>2.7638370199999863E-2</v>
      </c>
      <c r="M219" s="17">
        <f t="shared" si="59"/>
        <v>-0.45180814900000144</v>
      </c>
      <c r="N219" s="18">
        <f t="shared" si="60"/>
        <v>-8.0824355813953738E-2</v>
      </c>
      <c r="O219" s="17"/>
      <c r="P219" s="15">
        <f t="shared" si="52"/>
        <v>0.20041896985851623</v>
      </c>
      <c r="Q219" s="14">
        <f t="shared" si="53"/>
        <v>7.0308225000000014E-3</v>
      </c>
      <c r="R219" s="15"/>
      <c r="S219" s="42">
        <f t="shared" si="54"/>
        <v>5.0766754430832256E-3</v>
      </c>
      <c r="T219" s="20"/>
      <c r="U219" s="18" t="e">
        <f>(Table3[[#This Row],[Actual Amplitude (m)]]-Table3[[#This Row],[Target Amplitude (m)]])/Table3[[#This Row],[Target Amplitude (m)]]</f>
        <v>#VALUE!</v>
      </c>
    </row>
    <row r="220" spans="1:22" s="14" customFormat="1" x14ac:dyDescent="0.45">
      <c r="A220" s="14">
        <v>88</v>
      </c>
      <c r="B220" s="14">
        <v>7</v>
      </c>
      <c r="C220" s="14">
        <f t="shared" si="55"/>
        <v>7.8260000000000005</v>
      </c>
      <c r="D220" s="14">
        <v>0.01</v>
      </c>
      <c r="E220" s="14">
        <v>9.5583400000000002E-3</v>
      </c>
      <c r="F220" s="15">
        <v>4.6999999999999999E-6</v>
      </c>
      <c r="G220" s="15">
        <v>46.894799999999996</v>
      </c>
      <c r="H220" s="16">
        <v>4.1999999999999998E-5</v>
      </c>
      <c r="I220" s="16">
        <v>2.0900000000000001E-4</v>
      </c>
      <c r="J220" s="17">
        <f t="shared" si="56"/>
        <v>7.4635418939999987</v>
      </c>
      <c r="K220" s="17">
        <f t="shared" si="57"/>
        <v>0.46354189399999868</v>
      </c>
      <c r="L220" s="18">
        <f t="shared" si="58"/>
        <v>6.6220270571428388E-2</v>
      </c>
      <c r="M220" s="17">
        <f t="shared" si="59"/>
        <v>-0.36245810600000183</v>
      </c>
      <c r="N220" s="18">
        <f t="shared" si="60"/>
        <v>-4.6314605928954998E-2</v>
      </c>
      <c r="O220" s="17"/>
      <c r="P220" s="15">
        <f t="shared" si="52"/>
        <v>0.20091590850339022</v>
      </c>
      <c r="Q220" s="14">
        <f t="shared" si="53"/>
        <v>6.1246276000000007E-3</v>
      </c>
      <c r="R220" s="15"/>
      <c r="S220" s="42">
        <f t="shared" si="54"/>
        <v>5.0892630550090408E-3</v>
      </c>
      <c r="T220" s="20"/>
      <c r="U220" s="18" t="e">
        <f>(Table3[[#This Row],[Actual Amplitude (m)]]-Table3[[#This Row],[Target Amplitude (m)]])/Table3[[#This Row],[Target Amplitude (m)]]</f>
        <v>#VALUE!</v>
      </c>
    </row>
    <row r="221" spans="1:22" s="14" customFormat="1" x14ac:dyDescent="0.45">
      <c r="A221" s="14">
        <v>90</v>
      </c>
      <c r="B221" s="14">
        <v>9</v>
      </c>
      <c r="C221" s="14">
        <f t="shared" si="55"/>
        <v>10.062000000000001</v>
      </c>
      <c r="D221" s="14">
        <v>8.9999999999999993E-3</v>
      </c>
      <c r="E221" s="14">
        <v>7.6119300000000003E-3</v>
      </c>
      <c r="F221" s="15">
        <v>2.0999999999999999E-5</v>
      </c>
      <c r="G221" s="15">
        <v>56.911999999999999</v>
      </c>
      <c r="H221" s="16">
        <v>2.9E-4</v>
      </c>
      <c r="I221" s="16">
        <v>8.4800000000000001E-4</v>
      </c>
      <c r="J221" s="17">
        <f t="shared" si="56"/>
        <v>9.0578293599999995</v>
      </c>
      <c r="K221" s="17">
        <f t="shared" si="57"/>
        <v>5.7829359999999497E-2</v>
      </c>
      <c r="L221" s="18">
        <f t="shared" si="58"/>
        <v>6.4254844444443888E-3</v>
      </c>
      <c r="M221" s="17">
        <f t="shared" si="59"/>
        <v>-1.0041706400000017</v>
      </c>
      <c r="N221" s="28">
        <f t="shared" si="60"/>
        <v>-9.9798314450407627E-2</v>
      </c>
      <c r="O221" s="17"/>
      <c r="P221" s="15">
        <f t="shared" si="52"/>
        <v>0.18767104286585287</v>
      </c>
      <c r="Q221" s="14">
        <f t="shared" si="53"/>
        <v>8.2007513640000012E-3</v>
      </c>
      <c r="R221" s="15"/>
      <c r="S221" s="42">
        <f t="shared" si="54"/>
        <v>4.7537664491912887E-3</v>
      </c>
      <c r="T221" s="20"/>
      <c r="U221" s="18" t="e">
        <f>(Table3[[#This Row],[Actual Amplitude (m)]]-Table3[[#This Row],[Target Amplitude (m)]])/Table3[[#This Row],[Target Amplitude (m)]]</f>
        <v>#VALUE!</v>
      </c>
    </row>
    <row r="222" spans="1:22" s="14" customFormat="1" x14ac:dyDescent="0.45">
      <c r="A222" s="37">
        <v>103</v>
      </c>
      <c r="B222" s="37">
        <v>15</v>
      </c>
      <c r="C222" s="37">
        <f t="shared" si="55"/>
        <v>16.770000000000003</v>
      </c>
      <c r="D222" s="37">
        <v>5.0000000000000001E-3</v>
      </c>
      <c r="E222" s="37">
        <v>4.9398000000000003E-3</v>
      </c>
      <c r="F222" s="53">
        <v>2.6999999999999999E-5</v>
      </c>
      <c r="G222" s="53">
        <v>99.432000000000002</v>
      </c>
      <c r="H222" s="54">
        <v>3.3E-3</v>
      </c>
      <c r="I222" s="54">
        <v>4.6000000000000001E-4</v>
      </c>
      <c r="J222" s="38">
        <f t="shared" si="56"/>
        <v>15.825099959999999</v>
      </c>
      <c r="K222" s="38">
        <f t="shared" si="57"/>
        <v>0.8250999599999993</v>
      </c>
      <c r="L222" s="39">
        <f t="shared" si="58"/>
        <v>5.5006663999999955E-2</v>
      </c>
      <c r="M222" s="38">
        <f t="shared" si="59"/>
        <v>-0.94490004000000383</v>
      </c>
      <c r="N222" s="39">
        <f t="shared" si="60"/>
        <v>-5.6344665474061043E-2</v>
      </c>
      <c r="O222" s="17"/>
      <c r="P222" s="15">
        <f t="shared" ref="P222:P223" si="61">E222^2*G222^2</f>
        <v>0.24125208845861029</v>
      </c>
      <c r="Q222" s="14">
        <f t="shared" ref="Q222:Q223" si="62">C222^2*D222^2</f>
        <v>7.0308225000000023E-3</v>
      </c>
      <c r="R222" s="15"/>
      <c r="S222" s="42">
        <f t="shared" ref="S222:S223" si="63">E222^2*J222^2</f>
        <v>6.110991159843677E-3</v>
      </c>
      <c r="T222" s="20"/>
      <c r="U222" s="18"/>
    </row>
    <row r="223" spans="1:22" x14ac:dyDescent="0.45">
      <c r="A223" t="s">
        <v>54</v>
      </c>
      <c r="B223" s="37">
        <v>15</v>
      </c>
      <c r="C223" s="37">
        <f t="shared" si="55"/>
        <v>16.770000000000003</v>
      </c>
      <c r="D223" s="37">
        <v>5.0000000000000001E-3</v>
      </c>
      <c r="E223">
        <f>AVERAGE(E212,E166,E165,E164,E197)</f>
        <v>4.6013160000000003E-3</v>
      </c>
      <c r="G223" s="53">
        <v>99.432000000000002</v>
      </c>
      <c r="H223" s="54">
        <v>3.3E-3</v>
      </c>
      <c r="I223" s="54">
        <v>4.6000000000000001E-4</v>
      </c>
      <c r="J223" s="38">
        <f t="shared" si="56"/>
        <v>15.825099959999999</v>
      </c>
      <c r="K223" s="38">
        <f t="shared" si="57"/>
        <v>0.8250999599999993</v>
      </c>
      <c r="L223" s="39">
        <f t="shared" si="58"/>
        <v>5.5006663999999955E-2</v>
      </c>
      <c r="M223" s="38">
        <f t="shared" si="59"/>
        <v>-0.94490004000000383</v>
      </c>
      <c r="N223" s="39">
        <f t="shared" si="60"/>
        <v>-5.6344665474061043E-2</v>
      </c>
      <c r="P223" s="15">
        <f t="shared" si="61"/>
        <v>0.20932276837437319</v>
      </c>
      <c r="Q223" s="14">
        <f t="shared" si="62"/>
        <v>7.0308225000000023E-3</v>
      </c>
      <c r="S223" s="42">
        <f t="shared" si="63"/>
        <v>5.3022114555052111E-3</v>
      </c>
    </row>
    <row r="224" spans="1:22" x14ac:dyDescent="0.45">
      <c r="G224" s="7"/>
      <c r="S224" s="42"/>
    </row>
    <row r="225" spans="1:21" x14ac:dyDescent="0.45">
      <c r="A225" t="s">
        <v>65</v>
      </c>
      <c r="G225" s="7"/>
      <c r="S225" s="42"/>
    </row>
    <row r="226" spans="1:21" s="21" customFormat="1" x14ac:dyDescent="0.45">
      <c r="A226" s="21">
        <v>93</v>
      </c>
      <c r="B226" s="21">
        <v>1</v>
      </c>
      <c r="C226" s="21">
        <f t="shared" ref="C226:C231" si="64">B226*1.118</f>
        <v>1.1180000000000001</v>
      </c>
      <c r="D226" s="21">
        <v>5.0000000000000001E-3</v>
      </c>
      <c r="E226" s="21">
        <v>4.6482099999999998E-3</v>
      </c>
      <c r="F226" s="22">
        <v>2.7E-6</v>
      </c>
      <c r="G226" s="22">
        <v>7.6630099999999999</v>
      </c>
      <c r="H226" s="23">
        <v>1E-4</v>
      </c>
      <c r="I226" s="23">
        <v>8.7499999999999999E-5</v>
      </c>
      <c r="J226" s="24">
        <f t="shared" ref="J226:J231" si="65">0.159155*G226</f>
        <v>1.2196063565499999</v>
      </c>
      <c r="K226" s="24">
        <f t="shared" ref="K226:K231" si="66">J226-B226</f>
        <v>0.21960635654999994</v>
      </c>
      <c r="L226" s="25">
        <f>K226/B226</f>
        <v>0.21960635654999994</v>
      </c>
      <c r="M226" s="24">
        <f>J226-C226</f>
        <v>0.10160635654999983</v>
      </c>
      <c r="N226" s="25">
        <f>M226/C226</f>
        <v>9.0882250939176942E-2</v>
      </c>
      <c r="O226" s="24"/>
      <c r="P226" s="22"/>
      <c r="R226" s="22"/>
      <c r="S226" s="26"/>
      <c r="T226" s="27"/>
      <c r="U226" s="25" t="e">
        <f>(Table3[[#This Row],[Actual Amplitude (m)]]-Table3[[#This Row],[Target Amplitude (m)]])/Table3[[#This Row],[Target Amplitude (m)]]</f>
        <v>#VALUE!</v>
      </c>
    </row>
    <row r="227" spans="1:21" s="21" customFormat="1" x14ac:dyDescent="0.45">
      <c r="A227" s="21">
        <v>66</v>
      </c>
      <c r="B227" s="21">
        <v>3</v>
      </c>
      <c r="C227" s="21">
        <f t="shared" si="64"/>
        <v>3.3540000000000001</v>
      </c>
      <c r="D227" s="21">
        <v>5.0000000000000001E-3</v>
      </c>
      <c r="E227" s="21">
        <v>4.70499E-3</v>
      </c>
      <c r="F227" s="22">
        <v>1.7E-6</v>
      </c>
      <c r="G227" s="30">
        <v>22.8</v>
      </c>
      <c r="H227" s="23">
        <v>1.9000000000000001E-5</v>
      </c>
      <c r="I227" s="23"/>
      <c r="J227" s="24">
        <f t="shared" si="65"/>
        <v>3.6287340000000001</v>
      </c>
      <c r="K227" s="24">
        <f t="shared" si="66"/>
        <v>0.62873400000000013</v>
      </c>
      <c r="L227" s="25">
        <f t="shared" ref="L227" si="67">K227/B227</f>
        <v>0.20957800000000004</v>
      </c>
      <c r="M227" s="24">
        <f t="shared" ref="M227" si="68">J227-C227</f>
        <v>0.27473400000000003</v>
      </c>
      <c r="N227" s="25">
        <f t="shared" ref="N227" si="69">M227/C227</f>
        <v>8.1912343470483012E-2</v>
      </c>
      <c r="O227" s="24"/>
      <c r="P227" s="22"/>
      <c r="R227" s="22"/>
      <c r="S227" s="26"/>
      <c r="T227" s="27"/>
      <c r="U227" s="25" t="e">
        <f>(Table3[[#This Row],[Actual Amplitude (m)]]-Table3[[#This Row],[Target Amplitude (m)]])/Table3[[#This Row],[Target Amplitude (m)]]</f>
        <v>#VALUE!</v>
      </c>
    </row>
    <row r="228" spans="1:21" s="21" customFormat="1" x14ac:dyDescent="0.45">
      <c r="A228" s="21">
        <v>80</v>
      </c>
      <c r="B228" s="21">
        <v>4</v>
      </c>
      <c r="C228" s="21">
        <f t="shared" si="64"/>
        <v>4.4720000000000004</v>
      </c>
      <c r="D228" s="21">
        <v>4.0000000000000001E-3</v>
      </c>
      <c r="E228" s="21">
        <v>3.7035700000000002E-3</v>
      </c>
      <c r="F228" s="22">
        <v>2.2000000000000001E-6</v>
      </c>
      <c r="G228" s="22">
        <v>30.731999999999999</v>
      </c>
      <c r="H228" s="23">
        <v>6.3E-5</v>
      </c>
      <c r="I228" s="23"/>
      <c r="J228" s="24">
        <f t="shared" si="65"/>
        <v>4.8911514599999997</v>
      </c>
      <c r="K228" s="24">
        <f t="shared" si="66"/>
        <v>0.89115145999999967</v>
      </c>
      <c r="L228" s="25">
        <f>K228/B228</f>
        <v>0.22278786499999992</v>
      </c>
      <c r="M228" s="24">
        <f>J228-C228</f>
        <v>0.41915145999999925</v>
      </c>
      <c r="N228" s="25">
        <f>M228/C228</f>
        <v>9.37279651162789E-2</v>
      </c>
      <c r="O228" s="24"/>
      <c r="P228" s="22">
        <f>STDEV(P216:P221)</f>
        <v>7.9098314879416497E-3</v>
      </c>
      <c r="R228" s="22"/>
      <c r="S228" s="26"/>
      <c r="T228" s="27"/>
      <c r="U228" s="25" t="e">
        <f>(Table3[[#This Row],[Actual Amplitude (m)]]-Table3[[#This Row],[Target Amplitude (m)]])/Table3[[#This Row],[Target Amplitude (m)]]</f>
        <v>#VALUE!</v>
      </c>
    </row>
    <row r="229" spans="1:21" s="21" customFormat="1" x14ac:dyDescent="0.45">
      <c r="A229" s="21">
        <v>82</v>
      </c>
      <c r="B229" s="21">
        <v>5</v>
      </c>
      <c r="C229" s="21">
        <f t="shared" si="64"/>
        <v>5.5900000000000007</v>
      </c>
      <c r="D229" s="21">
        <v>3.5000000000000001E-3</v>
      </c>
      <c r="E229" s="21">
        <v>3.3279099999999999E-3</v>
      </c>
      <c r="F229" s="22">
        <v>1.3999999999999999E-6</v>
      </c>
      <c r="G229" s="22">
        <v>38.610700000000001</v>
      </c>
      <c r="H229" s="23">
        <v>2.5000000000000001E-5</v>
      </c>
      <c r="I229" s="23">
        <v>7.27E-4</v>
      </c>
      <c r="J229" s="24">
        <f t="shared" si="65"/>
        <v>6.1450859585000002</v>
      </c>
      <c r="K229" s="24">
        <f t="shared" si="66"/>
        <v>1.1450859585000002</v>
      </c>
      <c r="L229" s="25">
        <f>K229/B229</f>
        <v>0.22901719170000004</v>
      </c>
      <c r="M229" s="24">
        <f>J229-C229</f>
        <v>0.55508595849999942</v>
      </c>
      <c r="N229" s="25">
        <f>M229/C229</f>
        <v>9.9299813685151936E-2</v>
      </c>
      <c r="O229" s="24"/>
      <c r="P229" s="22"/>
      <c r="R229" s="22"/>
      <c r="S229" s="26"/>
      <c r="T229" s="27"/>
      <c r="U229" s="25" t="e">
        <f>(Table3[[#This Row],[Actual Amplitude (m)]]-Table3[[#This Row],[Target Amplitude (m)]])/Table3[[#This Row],[Target Amplitude (m)]]</f>
        <v>#VALUE!</v>
      </c>
    </row>
    <row r="230" spans="1:21" s="21" customFormat="1" x14ac:dyDescent="0.45">
      <c r="A230" s="21">
        <v>85</v>
      </c>
      <c r="B230" s="21">
        <v>7</v>
      </c>
      <c r="C230" s="21">
        <f t="shared" si="64"/>
        <v>7.8260000000000005</v>
      </c>
      <c r="D230" s="21">
        <v>3.5000000000000001E-3</v>
      </c>
      <c r="E230" s="21">
        <v>3.4521500000000002E-3</v>
      </c>
      <c r="F230" s="22">
        <v>1.9E-6</v>
      </c>
      <c r="G230" s="22">
        <v>53.807099999999998</v>
      </c>
      <c r="H230" s="23">
        <v>7.4999999999999993E-5</v>
      </c>
      <c r="I230" s="23">
        <v>6.9400000000000006E-5</v>
      </c>
      <c r="J230" s="24">
        <f t="shared" si="65"/>
        <v>8.5636690004999991</v>
      </c>
      <c r="K230" s="24">
        <f t="shared" si="66"/>
        <v>1.5636690004999991</v>
      </c>
      <c r="L230" s="25">
        <f>K230/B230</f>
        <v>0.22338128578571417</v>
      </c>
      <c r="M230" s="24">
        <f>J230-C230</f>
        <v>0.73766900049999862</v>
      </c>
      <c r="N230" s="25">
        <f>M230/C230</f>
        <v>9.4258752938921359E-2</v>
      </c>
      <c r="O230" s="24"/>
      <c r="P230" s="22"/>
      <c r="R230" s="22"/>
      <c r="S230" s="26"/>
      <c r="T230" s="27"/>
      <c r="U230" s="25" t="e">
        <f>(Table3[[#This Row],[Actual Amplitude (m)]]-Table3[[#This Row],[Target Amplitude (m)]])/Table3[[#This Row],[Target Amplitude (m)]]</f>
        <v>#VALUE!</v>
      </c>
    </row>
    <row r="231" spans="1:21" s="21" customFormat="1" x14ac:dyDescent="0.45">
      <c r="A231" s="21">
        <v>92</v>
      </c>
      <c r="B231" s="21">
        <v>9</v>
      </c>
      <c r="C231" s="21">
        <f t="shared" si="64"/>
        <v>10.062000000000001</v>
      </c>
      <c r="D231" s="21">
        <v>3.5000000000000001E-3</v>
      </c>
      <c r="E231" s="21">
        <v>3.7163000000000001E-3</v>
      </c>
      <c r="F231" s="22">
        <v>5.2000000000000002E-6</v>
      </c>
      <c r="G231" s="22">
        <v>68.642499999999998</v>
      </c>
      <c r="H231" s="23">
        <v>4.4000000000000002E-4</v>
      </c>
      <c r="I231" s="23">
        <v>1.21E-4</v>
      </c>
      <c r="J231" s="24">
        <f t="shared" si="65"/>
        <v>10.924797087499998</v>
      </c>
      <c r="K231" s="24">
        <f t="shared" si="66"/>
        <v>1.9247970874999982</v>
      </c>
      <c r="L231" s="25">
        <f>K231/B231</f>
        <v>0.21386634305555535</v>
      </c>
      <c r="M231" s="24">
        <f>J231-C231</f>
        <v>0.86279708749999706</v>
      </c>
      <c r="N231" s="25">
        <f>M231/C231</f>
        <v>8.5748070711587854E-2</v>
      </c>
      <c r="O231" s="24"/>
      <c r="P231" s="22"/>
      <c r="Q231" s="21" t="s">
        <v>42</v>
      </c>
      <c r="R231" s="22"/>
      <c r="S231" s="26"/>
      <c r="T231" s="27"/>
      <c r="U231" s="25" t="e">
        <f>(Table3[[#This Row],[Actual Amplitude (m)]]-Table3[[#This Row],[Target Amplitude (m)]])/Table3[[#This Row],[Target Amplitude (m)]]</f>
        <v>#VALUE!</v>
      </c>
    </row>
    <row r="232" spans="1:21" x14ac:dyDescent="0.45">
      <c r="A232" s="12">
        <v>107</v>
      </c>
      <c r="B232" s="12">
        <v>15</v>
      </c>
      <c r="C232" s="12">
        <f>B232*1.118</f>
        <v>16.770000000000003</v>
      </c>
      <c r="D232" s="12">
        <v>3.0000000000000001E-3</v>
      </c>
      <c r="E232" s="12">
        <v>4.0325999999999999E-3</v>
      </c>
      <c r="F232" s="40">
        <v>4.8999999999999998E-5</v>
      </c>
      <c r="G232" s="40">
        <v>114.57</v>
      </c>
      <c r="H232" s="41">
        <v>5.3E-3</v>
      </c>
      <c r="I232" s="41">
        <v>9.6400000000000001E-4</v>
      </c>
      <c r="J232" s="56">
        <f>0.159155*G232</f>
        <v>18.234388349999996</v>
      </c>
      <c r="K232" s="56">
        <f>J232-B232</f>
        <v>3.2343883499999961</v>
      </c>
      <c r="L232" s="57">
        <f>K232/B232</f>
        <v>0.21562588999999974</v>
      </c>
      <c r="M232" s="56">
        <f>J232-C232</f>
        <v>1.464388349999993</v>
      </c>
      <c r="N232" s="57">
        <f>M232/C232</f>
        <v>8.7321905187834989E-2</v>
      </c>
      <c r="Q232" t="s">
        <v>43</v>
      </c>
    </row>
    <row r="233" spans="1:21" x14ac:dyDescent="0.45">
      <c r="G233" s="7"/>
      <c r="Q233" t="s">
        <v>44</v>
      </c>
    </row>
    <row r="234" spans="1:21" x14ac:dyDescent="0.45">
      <c r="G234" s="7"/>
      <c r="Q234" s="21" t="s">
        <v>45</v>
      </c>
      <c r="S234" t="s">
        <v>50</v>
      </c>
    </row>
    <row r="235" spans="1:21" x14ac:dyDescent="0.45">
      <c r="G235" s="7"/>
      <c r="Q235" s="21" t="s">
        <v>46</v>
      </c>
    </row>
    <row r="236" spans="1:21" x14ac:dyDescent="0.45">
      <c r="G236" s="7"/>
      <c r="Q236" s="21" t="s">
        <v>46</v>
      </c>
    </row>
    <row r="237" spans="1:21" x14ac:dyDescent="0.45">
      <c r="G237" s="7"/>
    </row>
    <row r="238" spans="1:21" x14ac:dyDescent="0.45">
      <c r="G238" s="7"/>
    </row>
    <row r="239" spans="1:21" x14ac:dyDescent="0.45">
      <c r="G239" s="7"/>
    </row>
    <row r="240" spans="1:21" x14ac:dyDescent="0.45">
      <c r="G240" s="7"/>
      <c r="S240">
        <f>SQRT(0.00489/15.8^2)</f>
        <v>4.425856642290402E-3</v>
      </c>
    </row>
    <row r="241" spans="7:9" x14ac:dyDescent="0.45">
      <c r="G241" s="7"/>
    </row>
    <row r="242" spans="7:9" x14ac:dyDescent="0.45">
      <c r="G242" s="7"/>
    </row>
    <row r="243" spans="7:9" x14ac:dyDescent="0.45">
      <c r="G243" s="7"/>
    </row>
    <row r="244" spans="7:9" x14ac:dyDescent="0.45">
      <c r="G244" s="7"/>
    </row>
    <row r="245" spans="7:9" x14ac:dyDescent="0.45">
      <c r="G245" s="7"/>
    </row>
    <row r="246" spans="7:9" x14ac:dyDescent="0.45">
      <c r="G246" s="7"/>
    </row>
    <row r="247" spans="7:9" x14ac:dyDescent="0.45">
      <c r="G247" s="7"/>
    </row>
    <row r="248" spans="7:9" x14ac:dyDescent="0.45">
      <c r="G248" s="7"/>
    </row>
    <row r="249" spans="7:9" x14ac:dyDescent="0.45">
      <c r="G249" s="7"/>
    </row>
    <row r="250" spans="7:9" x14ac:dyDescent="0.45">
      <c r="G250" s="7"/>
    </row>
    <row r="251" spans="7:9" x14ac:dyDescent="0.45">
      <c r="G251" s="7"/>
    </row>
    <row r="252" spans="7:9" x14ac:dyDescent="0.45">
      <c r="G252" s="7"/>
      <c r="I252">
        <f>-0.000218*15+0.00514</f>
        <v>1.8699999999999993E-3</v>
      </c>
    </row>
  </sheetData>
  <phoneticPr fontId="4" type="noConversion"/>
  <conditionalFormatting sqref="I102:I187">
    <cfRule type="cellIs" dxfId="9" priority="40" operator="greaterThan">
      <formula>0.0051</formula>
    </cfRule>
  </conditionalFormatting>
  <conditionalFormatting sqref="I217">
    <cfRule type="cellIs" dxfId="8" priority="37" operator="greaterThan">
      <formula>0.0051</formula>
    </cfRule>
  </conditionalFormatting>
  <conditionalFormatting sqref="I227:I229">
    <cfRule type="cellIs" dxfId="7" priority="15" operator="greaterThan">
      <formula>0.0051</formula>
    </cfRule>
  </conditionalFormatting>
  <conditionalFormatting sqref="N102:N213">
    <cfRule type="cellIs" dxfId="6" priority="41" operator="lessThan">
      <formula>-0.1</formula>
    </cfRule>
    <cfRule type="cellIs" dxfId="5" priority="42" operator="greaterThan">
      <formula>0.1</formula>
    </cfRule>
  </conditionalFormatting>
  <conditionalFormatting sqref="N216:N223">
    <cfRule type="cellIs" dxfId="4" priority="3" operator="lessThan">
      <formula>-0.1</formula>
    </cfRule>
    <cfRule type="cellIs" dxfId="3" priority="4" operator="greaterThan">
      <formula>0.1</formula>
    </cfRule>
  </conditionalFormatting>
  <conditionalFormatting sqref="N226:N232">
    <cfRule type="cellIs" dxfId="2" priority="1" operator="lessThan">
      <formula>-0.1</formula>
    </cfRule>
    <cfRule type="cellIs" dxfId="1" priority="2" operator="greaterThan">
      <formula>0.1</formula>
    </cfRule>
  </conditionalFormatting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6927C-361F-1840-BC35-4284CAE719F0}">
  <dimension ref="A1:I14"/>
  <sheetViews>
    <sheetView workbookViewId="0">
      <selection activeCell="O20" sqref="O20"/>
    </sheetView>
  </sheetViews>
  <sheetFormatPr defaultColWidth="10.6640625" defaultRowHeight="14.25" x14ac:dyDescent="0.45"/>
  <sheetData>
    <row r="1" spans="1:9" x14ac:dyDescent="0.45">
      <c r="A1" t="s">
        <v>55</v>
      </c>
      <c r="B1" t="s">
        <v>55</v>
      </c>
      <c r="C1" t="s">
        <v>1</v>
      </c>
      <c r="D1" t="s">
        <v>56</v>
      </c>
      <c r="E1" t="s">
        <v>57</v>
      </c>
      <c r="I1" t="s">
        <v>4</v>
      </c>
    </row>
    <row r="2" spans="1:9" x14ac:dyDescent="0.45">
      <c r="A2">
        <v>1</v>
      </c>
      <c r="B2">
        <v>1</v>
      </c>
      <c r="C2">
        <v>0.01</v>
      </c>
      <c r="D2" s="1">
        <v>1.1825212270000001</v>
      </c>
      <c r="E2" s="1">
        <f>D2/1.118</f>
        <v>1.0577112942754918</v>
      </c>
      <c r="I2" s="1">
        <f t="shared" ref="I2:I14" si="0">D2-A2</f>
        <v>0.18252122700000006</v>
      </c>
    </row>
    <row r="3" spans="1:9" x14ac:dyDescent="0.45">
      <c r="A3">
        <v>2</v>
      </c>
      <c r="B3">
        <v>2</v>
      </c>
      <c r="C3">
        <v>0.01</v>
      </c>
      <c r="D3" s="1">
        <v>2.339577663</v>
      </c>
      <c r="E3" s="1">
        <f t="shared" ref="E3:E9" si="1">D3/1.118</f>
        <v>2.0926454946332735</v>
      </c>
      <c r="I3" s="1">
        <f t="shared" si="0"/>
        <v>0.33957766300000003</v>
      </c>
    </row>
    <row r="4" spans="1:9" x14ac:dyDescent="0.45">
      <c r="A4">
        <v>3</v>
      </c>
      <c r="B4">
        <v>3</v>
      </c>
      <c r="C4">
        <v>0.01</v>
      </c>
      <c r="D4" s="1">
        <v>3.4854932540000001</v>
      </c>
      <c r="E4" s="1">
        <f t="shared" si="1"/>
        <v>3.1176147173524149</v>
      </c>
      <c r="I4" s="1">
        <f t="shared" si="0"/>
        <v>0.4854932540000001</v>
      </c>
    </row>
    <row r="5" spans="1:9" x14ac:dyDescent="0.45">
      <c r="A5">
        <v>4</v>
      </c>
      <c r="B5">
        <v>4</v>
      </c>
      <c r="C5">
        <v>0.01</v>
      </c>
      <c r="D5" s="1">
        <v>4.6154933500000004</v>
      </c>
      <c r="E5" s="1">
        <f t="shared" si="1"/>
        <v>4.128348255813953</v>
      </c>
      <c r="I5" s="1">
        <f t="shared" si="0"/>
        <v>0.61549335000000038</v>
      </c>
    </row>
    <row r="6" spans="1:9" x14ac:dyDescent="0.45">
      <c r="A6">
        <v>5</v>
      </c>
      <c r="B6">
        <v>5</v>
      </c>
      <c r="C6">
        <v>0.01</v>
      </c>
      <c r="D6" s="1">
        <v>5.7295779509999996</v>
      </c>
      <c r="E6" s="1">
        <f t="shared" si="1"/>
        <v>5.1248461100178879</v>
      </c>
      <c r="I6" s="1">
        <f t="shared" si="0"/>
        <v>0.72957795099999956</v>
      </c>
    </row>
    <row r="7" spans="1:9" x14ac:dyDescent="0.45">
      <c r="A7">
        <v>6</v>
      </c>
      <c r="B7">
        <v>6</v>
      </c>
      <c r="C7">
        <v>0.01</v>
      </c>
      <c r="D7" s="1">
        <v>6.7322540929999999</v>
      </c>
      <c r="E7" s="1">
        <f t="shared" si="1"/>
        <v>6.0216941797853298</v>
      </c>
      <c r="I7" s="1">
        <f t="shared" si="0"/>
        <v>0.73225409299999988</v>
      </c>
    </row>
    <row r="8" spans="1:9" x14ac:dyDescent="0.45">
      <c r="A8">
        <v>7</v>
      </c>
      <c r="B8">
        <v>7</v>
      </c>
      <c r="C8">
        <v>8.0000000000000002E-3</v>
      </c>
      <c r="D8" s="1">
        <v>7.5280288080000002</v>
      </c>
      <c r="E8" s="1">
        <f t="shared" si="1"/>
        <v>6.7334783613595706</v>
      </c>
      <c r="I8" s="1">
        <f t="shared" si="0"/>
        <v>0.52802880800000018</v>
      </c>
    </row>
    <row r="9" spans="1:9" x14ac:dyDescent="0.45">
      <c r="A9">
        <v>8</v>
      </c>
      <c r="B9">
        <v>8</v>
      </c>
      <c r="C9">
        <v>8.0000000000000002E-3</v>
      </c>
      <c r="D9" s="1">
        <v>8.86493033</v>
      </c>
      <c r="E9" s="1">
        <f t="shared" si="1"/>
        <v>7.929275787119856</v>
      </c>
      <c r="I9" s="1">
        <f t="shared" si="0"/>
        <v>0.86493032999999997</v>
      </c>
    </row>
    <row r="10" spans="1:9" x14ac:dyDescent="0.45">
      <c r="A10">
        <v>9</v>
      </c>
      <c r="B10">
        <v>9</v>
      </c>
      <c r="C10">
        <v>8.0000000000000002E-3</v>
      </c>
      <c r="D10" s="1">
        <v>9.5652120800000002</v>
      </c>
      <c r="E10" s="1"/>
      <c r="I10" s="1">
        <f t="shared" si="0"/>
        <v>0.56521208000000023</v>
      </c>
    </row>
    <row r="11" spans="1:9" x14ac:dyDescent="0.45">
      <c r="A11">
        <v>10</v>
      </c>
      <c r="B11">
        <v>10</v>
      </c>
      <c r="C11">
        <v>8.0000000000000002E-3</v>
      </c>
      <c r="D11" s="1">
        <v>10.122254379999999</v>
      </c>
      <c r="E11" s="1"/>
      <c r="I11" s="1">
        <f t="shared" si="0"/>
        <v>0.12225437999999933</v>
      </c>
    </row>
    <row r="12" spans="1:9" x14ac:dyDescent="0.45">
      <c r="A12">
        <v>11</v>
      </c>
      <c r="B12">
        <v>11</v>
      </c>
      <c r="C12">
        <v>8.0000000000000002E-3</v>
      </c>
      <c r="D12" s="1">
        <v>10.583803720000001</v>
      </c>
      <c r="E12" s="1"/>
      <c r="I12" s="1">
        <f t="shared" si="0"/>
        <v>-0.41619627999999942</v>
      </c>
    </row>
    <row r="13" spans="1:9" x14ac:dyDescent="0.45">
      <c r="A13">
        <v>12</v>
      </c>
      <c r="B13">
        <v>12</v>
      </c>
      <c r="C13">
        <v>8.0000000000000002E-3</v>
      </c>
      <c r="D13" s="1">
        <v>10.965775580000001</v>
      </c>
      <c r="E13" s="1"/>
      <c r="I13" s="1">
        <f t="shared" si="0"/>
        <v>-1.0342244199999993</v>
      </c>
    </row>
    <row r="14" spans="1:9" x14ac:dyDescent="0.45">
      <c r="A14">
        <v>15</v>
      </c>
      <c r="B14">
        <v>15</v>
      </c>
      <c r="C14">
        <v>5.0000000000000001E-3</v>
      </c>
      <c r="D14" s="1">
        <v>15.835916839999999</v>
      </c>
      <c r="E14" s="1"/>
      <c r="I14" s="1">
        <f t="shared" si="0"/>
        <v>0.83591683999999944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Fig4a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Burk, Matthew</dc:creator>
  <cp:lastModifiedBy>Burk, Matthew</cp:lastModifiedBy>
  <dcterms:created xsi:type="dcterms:W3CDTF">2026-01-24T16:37:55Z</dcterms:created>
  <dcterms:modified xsi:type="dcterms:W3CDTF">2026-05-31T19:01:47Z</dcterms:modified>
</cp:coreProperties>
</file>